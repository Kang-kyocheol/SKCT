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13421140f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분석대시보드" sheetId="1" r:id="Rc725637024bd499f"/>
    <x:sheet xmlns:r="http://schemas.openxmlformats.org/officeDocument/2006/relationships" name="01_사용가이드" sheetId="2" r:id="R804a4adf781f4304"/>
    <x:sheet xmlns:r="http://schemas.openxmlformats.org/officeDocument/2006/relationships" name="02_정규화데이터" sheetId="3" r:id="Reeaa174d60fb453d"/>
    <x:sheet xmlns:r="http://schemas.openxmlformats.org/officeDocument/2006/relationships" name="03_가치별분석" sheetId="4" r:id="R9bbcb91dbffb44c0"/>
    <x:sheet xmlns:r="http://schemas.openxmlformats.org/officeDocument/2006/relationships" name="04_핵심6축" sheetId="5" r:id="Rfd72f0d7caf5423b"/>
    <x:sheet xmlns:r="http://schemas.openxmlformats.org/officeDocument/2006/relationships" name="05_충돌축분석" sheetId="6" r:id="R28b2002b1f3d4578"/>
    <x:sheet xmlns:r="http://schemas.openxmlformats.org/officeDocument/2006/relationships" name="06_문항쌍검증" sheetId="7" r:id="R82725be80c5a4d33"/>
    <x:sheet xmlns:r="http://schemas.openxmlformats.org/officeDocument/2006/relationships" name="07_가까움멂검증" sheetId="8" r:id="R345cdb3379c44928"/>
    <x:sheet xmlns:r="http://schemas.openxmlformats.org/officeDocument/2006/relationships" name="08_TOP5_최종요약" sheetId="9" r:id="R771dc3dad9ea49a8"/>
    <x:sheet xmlns:r="http://schemas.openxmlformats.org/officeDocument/2006/relationships" name="09_원본결과_필드정의" sheetId="10" r:id="Re1f4428ec57e4c51"/>
    <x:sheet xmlns:r="http://schemas.openxmlformats.org/officeDocument/2006/relationships" name="10_분석규칙" sheetId="11" r:id="Rcd0f8bf8ec7146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0.00"/>
    <x:numFmt numFmtId="203" formatCode="0%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5"/>
      <x:color rgb="FFE31E24"/>
      <x:name val="Carlito"/>
    </x:font>
    <x:font>
      <x:b/>
      <x:sz val="1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31E24"/>
      </x:patternFill>
    </x:fill>
    <x:fill>
      <x:patternFill patternType="solid">
        <x:fgColor rgb="FF1A1A1A"/>
      </x:patternFill>
    </x:fill>
    <x:fill>
      <x:patternFill patternType="solid">
        <x:fgColor rgb="FFFFF2CC"/>
      </x:patternFill>
    </x:fill>
    <x:fill>
      <x:patternFill patternType="solid">
        <x:fgColor rgb="FF404040"/>
      </x:patternFill>
    </x:fill>
    <x:fill>
      <x:patternFill patternType="solid">
        <x:fgColor rgb="FFFFF8E5"/>
      </x:patternFill>
    </x:fill>
    <x:fill>
      <x:patternFill patternType="solid">
        <x:fgColor rgb="FFFFFFFF"/>
      </x:patternFill>
    </x:fill>
  </x:fills>
  <x:borders count="14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2" xfId="0" applyNumberFormat="1" applyFont="1" applyFill="1" applyBorder="1" applyAlignment="1">
      <x:alignment horizontal="center"/>
    </x:xf>
    <x:xf numFmtId="0" fontId="7" fillId="7" borderId="3" xfId="0" applyNumberFormat="1" applyFont="1" applyFill="1" applyBorder="1" applyAlignment="1">
      <x:alignment horizontal="center"/>
    </x:xf>
    <x:xf numFmtId="0" fontId="7" fillId="7" borderId="4" xfId="0" applyNumberFormat="1" applyFont="1" applyFill="1" applyBorder="1" applyAlignment="1">
      <x:alignment horizontal="center"/>
    </x:xf>
    <x:xf numFmtId="0" fontId="7" fillId="7" borderId="5" xfId="0" applyNumberFormat="1" applyFont="1" applyFill="1" applyBorder="1" applyAlignment="1">
      <x:alignment horizontal="center"/>
    </x:xf>
    <x:xf numFmtId="0" fontId="7" fillId="7" borderId="6" xfId="0" applyNumberFormat="1" applyFont="1" applyFill="1" applyBorder="1" applyAlignment="1">
      <x:alignment horizontal="center"/>
    </x:xf>
    <x:xf numFmtId="0" fontId="7" fillId="7" borderId="7" xfId="0" applyNumberFormat="1" applyFont="1" applyFill="1" applyBorder="1" applyAlignment="1">
      <x:alignment horizontal="center"/>
    </x:xf>
    <x:xf numFmtId="0" fontId="7" fillId="7" borderId="2" xfId="0" applyNumberFormat="1" applyFont="1" applyFill="1" applyBorder="1" applyAlignment="1">
      <x:alignment horizontal="center" vertical="center"/>
    </x:xf>
    <x:xf numFmtId="0" fontId="7" fillId="7" borderId="3" xfId="0" applyNumberFormat="1" applyFont="1" applyFill="1" applyBorder="1" applyAlignment="1">
      <x:alignment horizontal="center" vertical="center"/>
    </x:xf>
    <x:xf numFmtId="0" fontId="7" fillId="7" borderId="4" xfId="0" applyNumberFormat="1" applyFont="1" applyFill="1" applyBorder="1" applyAlignment="1">
      <x:alignment horizontal="center" vertical="center"/>
    </x:xf>
    <x:xf numFmtId="0" fontId="7" fillId="7" borderId="5" xfId="0" applyNumberFormat="1" applyFont="1" applyFill="1" applyBorder="1" applyAlignment="1">
      <x:alignment horizontal="center" vertical="center"/>
    </x:xf>
    <x:xf numFmtId="0" fontId="7" fillId="7" borderId="6" xfId="0" applyNumberFormat="1" applyFont="1" applyFill="1" applyBorder="1" applyAlignment="1">
      <x:alignment horizontal="center" vertical="center"/>
    </x:xf>
    <x:xf numFmtId="0" fontId="7" fillId="7" borderId="7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8" xfId="0" applyNumberFormat="1" applyFont="1" applyFill="1" applyBorder="1"/>
    <x:xf numFmtId="0" fontId="7" fillId="7" borderId="9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7" fillId="7" borderId="12" xfId="0" applyNumberFormat="1" applyFont="1" applyFill="1" applyBorder="1"/>
    <x:xf numFmtId="0" fontId="7" fillId="7" borderId="13" xfId="0" applyNumberFormat="1" applyFont="1" applyFill="1" applyBorder="1"/>
    <x:xf numFmtId="0" fontId="7" fillId="7" borderId="8" xfId="0" applyNumberFormat="1" applyFont="1" applyFill="1" applyBorder="1" applyAlignment="1">
      <x:alignment horizontal="center"/>
    </x:xf>
    <x:xf numFmtId="0" fontId="7" fillId="7" borderId="9" xfId="0" applyNumberFormat="1" applyFont="1" applyFill="1" applyBorder="1" applyAlignment="1">
      <x:alignment horizontal="center"/>
    </x:xf>
    <x:xf numFmtId="0" fontId="7" fillId="7" borderId="10" xfId="0" applyNumberFormat="1" applyFont="1" applyFill="1" applyBorder="1" applyAlignment="1">
      <x:alignment horizontal="center"/>
    </x:xf>
    <x:xf numFmtId="0" fontId="7" fillId="7" borderId="11" xfId="0" applyNumberFormat="1" applyFont="1" applyFill="1" applyBorder="1" applyAlignment="1">
      <x:alignment horizontal="center"/>
    </x:xf>
    <x:xf numFmtId="0" fontId="7" fillId="7" borderId="12" xfId="0" applyNumberFormat="1" applyFont="1" applyFill="1" applyBorder="1" applyAlignment="1">
      <x:alignment horizontal="center"/>
    </x:xf>
    <x:xf numFmtId="0" fontId="7" fillId="7" borderId="13" xfId="0" applyNumberFormat="1" applyFont="1" applyFill="1" applyBorder="1" applyAlignment="1">
      <x:alignment horizontal="center"/>
    </x:xf>
    <x:xf numFmtId="0" fontId="7" fillId="7" borderId="8" xfId="0" applyNumberFormat="1" applyFont="1" applyFill="1" applyBorder="1" applyAlignment="1">
      <x:alignment horizontal="center" vertical="center"/>
    </x:xf>
    <x:xf numFmtId="0" fontId="7" fillId="7" borderId="9" xfId="0" applyNumberFormat="1" applyFont="1" applyFill="1" applyBorder="1" applyAlignment="1">
      <x:alignment horizontal="center" vertical="center"/>
    </x:xf>
    <x:xf numFmtId="0" fontId="7" fillId="7" borderId="10" xfId="0" applyNumberFormat="1" applyFont="1" applyFill="1" applyBorder="1" applyAlignment="1">
      <x:alignment horizontal="center" vertical="center"/>
    </x:xf>
    <x:xf numFmtId="0" fontId="7" fillId="7" borderId="11" xfId="0" applyNumberFormat="1" applyFont="1" applyFill="1" applyBorder="1" applyAlignment="1">
      <x:alignment horizontal="center" vertical="center"/>
    </x:xf>
    <x:xf numFmtId="0" fontId="7" fillId="7" borderId="12" xfId="0" applyNumberFormat="1" applyFont="1" applyFill="1" applyBorder="1" applyAlignment="1">
      <x:alignment horizontal="center" vertical="center"/>
    </x:xf>
    <x:xf numFmtId="0" fontId="7" fillId="7" borderId="13" xfId="0" applyNumberFormat="1" applyFont="1" applyFill="1" applyBorder="1" applyAlignment="1">
      <x:alignment horizontal="center" vertical="center"/>
    </x:xf>
    <x:xf numFmtId="203" fontId="7" fillId="7" borderId="2" xfId="0" applyNumberFormat="1" applyFont="1" applyFill="1" applyBorder="1" applyAlignment="1">
      <x:alignment horizontal="center" vertical="center"/>
    </x:xf>
    <x:xf numFmtId="203" fontId="7" fillId="7" borderId="8" xfId="0" applyNumberFormat="1" applyFont="1" applyFill="1" applyBorder="1" applyAlignment="1">
      <x:alignment horizontal="center" vertical="center"/>
    </x:xf>
    <x:xf numFmtId="200" fontId="7" fillId="7" borderId="2" xfId="0" applyNumberFormat="1" applyFont="1" applyFill="1" applyBorder="1" applyAlignment="1">
      <x:alignment horizontal="center" vertical="center"/>
    </x:xf>
    <x:xf numFmtId="200" fontId="7" fillId="7" borderId="8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B91C1C"/>
      </x:font>
      <x:fill>
        <x:patternFill patternType="solid">
          <x:bgColor rgb="FFFCE2E2"/>
        </x:patternFill>
      </x:fill>
    </x:dxf>
    <x:dxf>
      <x:font>
        <x:b/>
        <x:color rgb="FFB91C1C"/>
      </x:font>
      <x:fill>
        <x:patternFill patternType="solid">
          <x:bgColor rgb="FFFCE2E2"/>
        </x:patternFill>
      </x:fill>
    </x:dxf>
    <x:dxf>
      <x:font>
        <x:b/>
        <x:color rgb="FFB91C1C"/>
      </x:font>
      <x:fill>
        <x:patternFill patternType="solid">
          <x:bgColor rgb="FFFCE2E2"/>
        </x:patternFill>
      </x:fill>
    </x:dxf>
    <x:dxf>
      <x:font>
        <x:b/>
      </x:font>
      <x:fill>
        <x:patternFill patternType="solid">
          <x:bgColor rgb="FFFCE8D8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bc08583e734869" /><Relationship Type="http://schemas.openxmlformats.org/officeDocument/2006/relationships/theme" Target="/xl/theme/theme1.xml" Id="R908ade1c78ae4007" /><Relationship Type="http://schemas.openxmlformats.org/officeDocument/2006/relationships/sharedStrings" Target="/xl/sharedStrings.xml" Id="R7f86ed8d60de4eb4" /><Relationship Type="http://schemas.openxmlformats.org/officeDocument/2006/relationships/worksheet" Target="/xl/worksheets/sheet1.xml" Id="Rc725637024bd499f" /><Relationship Type="http://schemas.openxmlformats.org/officeDocument/2006/relationships/worksheet" Target="/xl/worksheets/sheet2.xml" Id="R804a4adf781f4304" /><Relationship Type="http://schemas.openxmlformats.org/officeDocument/2006/relationships/worksheet" Target="/xl/worksheets/sheet3.xml" Id="Reeaa174d60fb453d" /><Relationship Type="http://schemas.openxmlformats.org/officeDocument/2006/relationships/worksheet" Target="/xl/worksheets/sheet4.xml" Id="R9bbcb91dbffb44c0" /><Relationship Type="http://schemas.openxmlformats.org/officeDocument/2006/relationships/worksheet" Target="/xl/worksheets/sheet5.xml" Id="Rfd72f0d7caf5423b" /><Relationship Type="http://schemas.openxmlformats.org/officeDocument/2006/relationships/worksheet" Target="/xl/worksheets/sheet6.xml" Id="R28b2002b1f3d4578" /><Relationship Type="http://schemas.openxmlformats.org/officeDocument/2006/relationships/worksheet" Target="/xl/worksheets/sheet7.xml" Id="R82725be80c5a4d33" /><Relationship Type="http://schemas.openxmlformats.org/officeDocument/2006/relationships/worksheet" Target="/xl/worksheets/sheet8.xml" Id="R345cdb3379c44928" /><Relationship Type="http://schemas.openxmlformats.org/officeDocument/2006/relationships/worksheet" Target="/xl/worksheets/sheet9.xml" Id="R771dc3dad9ea49a8" /><Relationship Type="http://schemas.openxmlformats.org/officeDocument/2006/relationships/worksheet" Target="/xl/worksheets/sheet10.xml" Id="Re1f4428ec57e4c51" /><Relationship Type="http://schemas.openxmlformats.org/officeDocument/2006/relationships/worksheet" Target="/xl/worksheets/sheet11.xml" Id="Rcd0f8bf8ec7146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c96d5e1aec4d2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핵심 6축 강도 (사이트에서는 Radar)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1~7 점수</c:v>
          </c:tx>
          <c:cat>
            <c:strRef>
              <c:f>'00_분석대시보드'!$B$9:$B$14</c:f>
              <c:strCache>
                <c:ptCount val="0"/>
              </c:strCache>
            </c:strRef>
          </c:cat>
          <c:val>
            <c:numRef>
              <c:f>'00_분석대시보드'!$C$9:$C$14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c96d5e1aec4d2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NormalizedDataTable" displayName="NormalizedDataTable" ref="A1:M1001" headerRowCount="1" totalsRowCount="0" totalsRowShown="0">
  <x:tableColumns count="13">
    <x:tableColumn id="1" name="row_id"/>
    <x:tableColumn id="2" name="part"/>
    <x:tableColumn id="3" name="source_id"/>
    <x:tableColumn id="4" name="option"/>
    <x:tableColumn id="5" name="statement"/>
    <x:tableColumn id="6" name="dimension"/>
    <x:tableColumn id="7" name="polarity"/>
    <x:tableColumn id="8" name="raw_score"/>
    <x:tableColumn id="9" name="corrected_score"/>
    <x:tableColumn id="10" name="closest_flag"/>
    <x:tableColumn id="11" name="farthest_flag"/>
    <x:tableColumn id="12" name="response_time_sec"/>
    <x:tableColumn id="13" name="comple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9ffe5fbca2343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a98985f71354015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8" hidden="0" customWidth="1"/>
    <x:col min="8" max="8" width="24" hidden="0" customWidth="1"/>
    <x:col min="9" max="9" width="12" hidden="0" customWidth="1"/>
    <x:col min="10" max="10" width="12" hidden="0" customWidth="1"/>
    <x:col min="11" max="11" width="12" hidden="0" customWidth="1"/>
    <x:col min="12" max="12" width="48" hidden="0" customWidth="1"/>
  </x:cols>
  <x:sheetData>
    <x:row r="1" ht="34" customHeight="1">
      <x:c r="A1" s="62" t="str">
        <x:v>SKCT 심층검사 연습 — 응답 일관성 분석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</x:row>
    <x:row r="3">
      <x:c r="A3" s="28" t="str">
        <x:v>전체 유효문항</x:v>
      </x:c>
      <x:c r="B3" s="28"/>
      <x:c r="C3" s="28"/>
      <x:c r="D3" s="28" t="str">
        <x:v>응답 완료율</x:v>
      </x:c>
      <x:c r="E3" s="28"/>
      <x:c r="F3" s="28"/>
      <x:c r="G3" s="28" t="str">
        <x:v>평균 일관성</x:v>
      </x:c>
      <x:c r="H3" s="28"/>
      <x:c r="I3" s="28"/>
      <x:c r="J3" s="28" t="str">
        <x:v>재확인 가치 수</x:v>
      </x:c>
      <x:c r="K3" s="28"/>
      <x:c r="L3" s="28"/>
    </x:row>
    <x:row r="4">
      <x:c r="A4" s="80" t="n">
        <x:f>COUNT('02_정규화데이터'!H2:H1001)</x:f>
        <x:v>0</x:v>
      </x:c>
      <x:c r="B4" s="81"/>
      <x:c r="C4" s="82"/>
      <x:c r="D4" s="106" t="str">
        <x:f>IF(COUNTA('02_정규화데이터'!A2:A1001)=0,"",SUM('02_정규화데이터'!M2:M1001)/COUNTA('02_정규화데이터'!A2:A1001))</x:f>
      </x:c>
      <x:c r="E4" s="81"/>
      <x:c r="F4" s="82"/>
      <x:c r="G4" s="108" t="str">
        <x:f>IF(COUNT('03_가치별분석'!G2:G15)=0,"",AVERAGE('03_가치별분석'!G2:G15))</x:f>
      </x:c>
      <x:c r="H4" s="81"/>
      <x:c r="I4" s="82"/>
      <x:c r="J4" s="80" t="n">
        <x:f>COUNTIF('03_가치별분석'!I2:I15,"재확인")</x:f>
        <x:v>0</x:v>
      </x:c>
      <x:c r="K4" s="81"/>
      <x:c r="L4" s="82"/>
    </x:row>
    <x:row r="5">
      <x:c r="A5" s="83"/>
      <x:c r="B5" s="84"/>
      <x:c r="C5" s="85"/>
      <x:c r="D5" s="83"/>
      <x:c r="E5" s="84"/>
      <x:c r="F5" s="85"/>
      <x:c r="G5" s="83"/>
      <x:c r="H5" s="84"/>
      <x:c r="I5" s="85"/>
      <x:c r="J5" s="83"/>
      <x:c r="K5" s="84"/>
      <x:c r="L5" s="85"/>
    </x:row>
    <x:row r="7">
      <x:c r="A7" s="28" t="str">
        <x:v>6축 시각화 데이터 (사이트에서는 Radar Chart)</x:v>
      </x:c>
      <x:c r="B7" s="28"/>
      <x:c r="C7" s="28"/>
      <x:c r="D7" s="28"/>
      <x:c r="E7" s="28"/>
      <x:c r="F7" s="28"/>
      <x:c r="G7" s="28" t="str">
        <x:v>핵심 6축 프로필</x:v>
      </x:c>
      <x:c r="H7" s="28"/>
      <x:c r="I7" s="28"/>
      <x:c r="J7" s="28"/>
      <x:c r="K7" s="28"/>
      <x:c r="L7" s="28"/>
    </x:row>
    <x:row r="8">
      <x:c r="A8" s="52" t="str">
        <x:v>축</x:v>
      </x:c>
      <x:c r="B8" s="52" t="str">
        <x:v>표시명</x:v>
      </x:c>
      <x:c r="C8" s="52" t="str">
        <x:v>1~7 점수</x:v>
      </x:c>
      <x:c r="G8" s="112" t="str">
        <x:v>축</x:v>
      </x:c>
      <x:c r="H8" s="112" t="str">
        <x:v>인재상/가치</x:v>
      </x:c>
      <x:c r="I8" s="112" t="str">
        <x:v>보정평균</x:v>
      </x:c>
      <x:c r="J8" s="112" t="str">
        <x:v>일관성</x:v>
      </x:c>
      <x:c r="K8" s="112" t="str">
        <x:v>상태</x:v>
      </x:c>
      <x:c r="L8" s="112" t="str">
        <x:v>설명</x:v>
      </x:c>
    </x:row>
    <x:row r="9">
      <x:c r="A9" t="str">
        <x:v>A</x:v>
      </x:c>
      <x:c r="B9" t="str">
        <x:v>높은 목표·도전</x:v>
      </x:c>
      <x:c r="C9" s="36" t="str">
        <x:f>'04_핵심6축'!D2</x:f>
      </x:c>
      <x:c r="G9" s="20" t="str">
        <x:v>A</x:v>
      </x:c>
      <x:c r="H9" s="20" t="str">
        <x:v>높은 목표·도전</x:v>
      </x:c>
      <x:c r="I9" s="39" t="str">
        <x:f>'04_핵심6축'!D2</x:f>
      </x:c>
      <x:c r="J9" s="40" t="n">
        <x:f>'04_핵심6축'!E2</x:f>
        <x:v>0</x:v>
      </x:c>
      <x:c r="K9" s="20" t="str">
        <x:f>IF(J9="","",IF(J9&gt;=85,"안정",IF(J9&gt;=70,"보통","재확인")))</x:f>
      </x:c>
      <x:c r="L9" s="20" t="str">
        <x:v>높은 수준의 목표를 세우고 쉽게 낮추지 않는 경향</x:v>
      </x:c>
    </x:row>
    <x:row r="10">
      <x:c r="A10" t="str">
        <x:v>B</x:v>
      </x:c>
      <x:c r="B10" t="str">
        <x:v>자발성·주도성</x:v>
      </x:c>
      <x:c r="C10" s="36" t="str">
        <x:f>'04_핵심6축'!D3</x:f>
      </x:c>
      <x:c r="G10" s="20" t="str">
        <x:v>B</x:v>
      </x:c>
      <x:c r="H10" s="20" t="str">
        <x:v>자발성·주도성</x:v>
      </x:c>
      <x:c r="I10" s="39" t="str">
        <x:f>'04_핵심6축'!D3</x:f>
      </x:c>
      <x:c r="J10" s="40" t="n">
        <x:f>'04_핵심6축'!E3</x:f>
        <x:v>0</x:v>
      </x:c>
      <x:c r="K10" s="20" t="str">
        <x:f>IF(J10="","",IF(J10&gt;=85,"안정",IF(J10&gt;=70,"보통","재확인")))</x:f>
      </x:c>
      <x:c r="L10" s="20" t="str">
        <x:v>지시를 기다리기보다 필요한 일을 먼저 판단하는 경향</x:v>
      </x:c>
    </x:row>
    <x:row r="11">
      <x:c r="A11" t="str">
        <x:v>C</x:v>
      </x:c>
      <x:c r="B11" t="str">
        <x:v>문제해결·분석</x:v>
      </x:c>
      <x:c r="C11" s="36" t="str">
        <x:f>'04_핵심6축'!D4</x:f>
      </x:c>
      <x:c r="G11" s="20" t="str">
        <x:v>C</x:v>
      </x:c>
      <x:c r="H11" s="20" t="str">
        <x:v>문제해결·분석</x:v>
      </x:c>
      <x:c r="I11" s="39" t="str">
        <x:f>'04_핵심6축'!D4</x:f>
      </x:c>
      <x:c r="J11" s="40" t="n">
        <x:f>'04_핵심6축'!E4</x:f>
        <x:v>0</x:v>
      </x:c>
      <x:c r="K11" s="20" t="str">
        <x:f>IF(J11="","",IF(J11&gt;=85,"안정",IF(J11&gt;=70,"보통","재확인")))</x:f>
      </x:c>
      <x:c r="L11" s="20" t="str">
        <x:v>데이터와 근거로 문제 원인을 좁혀가는 경향</x:v>
      </x:c>
    </x:row>
    <x:row r="12">
      <x:c r="A12" t="str">
        <x:v>D</x:v>
      </x:c>
      <x:c r="B12" t="str">
        <x:v>창의·개선</x:v>
      </x:c>
      <x:c r="C12" s="36" t="str">
        <x:f>'04_핵심6축'!D5</x:f>
      </x:c>
      <x:c r="G12" s="20" t="str">
        <x:v>D</x:v>
      </x:c>
      <x:c r="H12" s="20" t="str">
        <x:v>창의·개선</x:v>
      </x:c>
      <x:c r="I12" s="39" t="str">
        <x:f>'04_핵심6축'!D5</x:f>
      </x:c>
      <x:c r="J12" s="40" t="n">
        <x:f>'04_핵심6축'!E5</x:f>
        <x:v>0</x:v>
      </x:c>
      <x:c r="K12" s="20" t="str">
        <x:f>IF(J12="","",IF(J12&gt;=85,"안정",IF(J12&gt;=70,"보통","재확인")))</x:f>
      </x:c>
      <x:c r="L12" s="20" t="str">
        <x:v>기존 방식에 안주하지 않고 더 나은 방법을 찾는 경향</x:v>
      </x:c>
    </x:row>
    <x:row r="13">
      <x:c r="A13" t="str">
        <x:v>E</x:v>
      </x:c>
      <x:c r="B13" t="str">
        <x:v>책임·윤리</x:v>
      </x:c>
      <x:c r="C13" s="36" t="str">
        <x:f>'04_핵심6축'!D6</x:f>
      </x:c>
      <x:c r="G13" s="20" t="str">
        <x:v>E</x:v>
      </x:c>
      <x:c r="H13" s="20" t="str">
        <x:v>책임·윤리</x:v>
      </x:c>
      <x:c r="I13" s="39" t="str">
        <x:f>'04_핵심6축'!D6</x:f>
      </x:c>
      <x:c r="J13" s="40" t="n">
        <x:f>'04_핵심6축'!E6</x:f>
        <x:v>0</x:v>
      </x:c>
      <x:c r="K13" s="20" t="str">
        <x:f>IF(J13="","",IF(J13&gt;=85,"안정",IF(J13&gt;=70,"보통","재확인")))</x:f>
      </x:c>
      <x:c r="L13" s="20" t="str">
        <x:v>결과까지 책임지고 기준을 지키려는 경향</x:v>
      </x:c>
    </x:row>
    <x:row r="14">
      <x:c r="A14" t="str">
        <x:v>F</x:v>
      </x:c>
      <x:c r="B14" t="str">
        <x:v>협업·유연성</x:v>
      </x:c>
      <x:c r="C14" s="36" t="n">
        <x:f>'04_핵심6축'!D7</x:f>
        <x:v>0</x:v>
      </x:c>
      <x:c r="G14" s="20" t="str">
        <x:v>F</x:v>
      </x:c>
      <x:c r="H14" s="20" t="str">
        <x:v>협업·유연성</x:v>
      </x:c>
      <x:c r="I14" s="39" t="n">
        <x:f>'04_핵심6축'!D7</x:f>
        <x:v>0</x:v>
      </x:c>
      <x:c r="J14" s="40" t="n">
        <x:f>'04_핵심6축'!E7</x:f>
        <x:v>0</x:v>
      </x:c>
      <x:c r="K14" s="20" t="str">
        <x:f>IF(J14="","",IF(J14&gt;=85,"안정",IF(J14&gt;=70,"보통","재확인")))</x:f>
      </x:c>
      <x:c r="L14" s="20" t="str">
        <x:v>팀 성과를 고려하며 상황에 맞게 조정하는 경향</x:v>
      </x:c>
    </x:row>
    <x:row r="16">
      <x:c r="A16" s="11" t="str">
        <x:v>주요 검토 포인트</x:v>
      </x:c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</x:row>
    <x:row r="17">
      <x:c r="A17" s="114" t="str">
        <x:v>구분</x:v>
      </x:c>
      <x:c r="B17" s="114" t="str">
        <x:v>사이트 표시 내용</x:v>
      </x:c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t="str"/>
    </x:row>
    <x:row r="18">
      <x:c r="A18" s="20" t="str">
        <x:v>가장 일관된 가치</x:v>
      </x:c>
      <x:c r="B18" s="20" t="str">
        <x:v>08_TOP5_최종요약의 TOP5 결과를 카드 형태로 표시</x:v>
      </x:c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</x:row>
    <x:row r="19">
      <x:c r="A19" s="20" t="str">
        <x:v>가장 흔들린 충돌축</x:v>
      </x:c>
      <x:c r="B19" s="20" t="str">
        <x:v>05_충돌축분석에서 '재확인' 우선 노출</x:v>
      </x:c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</x:row>
    <x:row r="20">
      <x:c r="A20" s="20" t="str">
        <x:v>재확인 문항</x:v>
      </x:c>
      <x:c r="B20" s="20" t="str">
        <x:v>06_문항쌍검증 + 07_가까움멂검증의 플래그 문항을 링크 목록으로 표시</x:v>
      </x:c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</x:row>
  </x:sheetData>
  <x:mergeCells>
    <x:mergeCell ref="A1:L1"/>
    <x:mergeCell ref="A3:C3"/>
    <x:mergeCell ref="D3:F3"/>
    <x:mergeCell ref="G3:I3"/>
    <x:mergeCell ref="J3:L3"/>
    <x:mergeCell ref="A4:C5"/>
    <x:mergeCell ref="D4:F5"/>
    <x:mergeCell ref="G4:I5"/>
    <x:mergeCell ref="J4:L5"/>
    <x:mergeCell ref="G7:L7"/>
    <x:mergeCell ref="A7:F7"/>
    <x:mergeCell ref="A16:L16"/>
  </x:mergeCells>
  <x:conditionalFormatting sqref="K9:K14">
    <x:cfRule type="expression" dxfId="5" priority="1">
      <x:formula>K9="재확인"</x:formula>
    </x:cfRule>
  </x:conditionalFormatting>
  <x:conditionalFormatting sqref="C9:C14">
    <x:cfRule type="dataBar" priority="2">
      <x:dataBar>
        <x:cfvo type="min"/>
        <x:cfvo type="max"/>
        <x:color rgb="FFF97316"/>
      </x:dataBar>
      <x:extLst>
        <x:ext xmlns:x14="http://schemas.microsoft.com/office/spreadsheetml/2009/9/main" uri="{B025F937-C7B1-47D3-B67F-A62EFF666E3E}">
          <x14:id>{56004DE2-8495-226D-135F-AE74F6FA3334}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29ffe5fbca2343f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6004DE2-8495-226D-135F-AE74F6FA3334}">
            <x14:dataBar gradient="1">
              <x14:cfvo type="min"/>
              <x14:cfvo type="max"/>
              <x14:fillColor rgb="FFF97316"/>
            </x14:dataBar>
          </x14:cfRule>
          <xm:sqref>C9:C14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25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</x:cols>
  <x:sheetData>
    <x:row r="1" ht="34" customHeight="1">
      <x:c r="A1" s="5" t="str">
        <x:v>SKCT 심층검사 연습 — 응답 분석 기본 양식</x:v>
      </x:c>
      <x:c r="B1" s="5"/>
      <x:c r="C1" s="5"/>
      <x:c r="D1" s="5"/>
      <x:c r="E1" s="5"/>
      <x:c r="F1" s="5"/>
      <x:c r="G1" s="5"/>
      <x:c r="H1" s="5"/>
    </x:row>
    <x:row r="3">
      <x:c r="A3" s="11" t="str">
        <x:v>이 파일의 목적</x:v>
      </x:c>
      <x:c r="B3" s="11"/>
      <x:c r="C3" s="11"/>
      <x:c r="D3" s="11"/>
      <x:c r="E3" s="11"/>
      <x:c r="F3" s="11"/>
      <x:c r="G3" s="11"/>
      <x:c r="H3" s="11"/>
    </x:row>
    <x:row r="4">
      <x:c r="A4" s="16" t="str">
        <x:v>1</x:v>
      </x:c>
      <x:c r="B4" s="20" t="str">
        <x:v>사이트가 응답결과 Excel을 읽은 뒤 내부적으로 사용할 분석 데이터 구조를 정의합니다.</x:v>
      </x:c>
      <x:c r="C4" s="20" t="str"/>
      <x:c r="D4" s="20" t="str"/>
      <x:c r="E4" s="20" t="str"/>
      <x:c r="F4" s="20" t="str"/>
      <x:c r="G4" s="20" t="str"/>
      <x:c r="H4" s="20" t="str"/>
    </x:row>
    <x:row r="5">
      <x:c r="A5" s="16" t="str">
        <x:v>2</x:v>
      </x:c>
      <x:c r="B5" s="20" t="str">
        <x:v>정/역방향 보정, 가치별 강도, 응답 흔들림, 충돌축, 가까움/멂 일치 여부를 분리해 저장합니다.</x:v>
      </x:c>
      <x:c r="C5" s="20" t="str"/>
      <x:c r="D5" s="20" t="str"/>
      <x:c r="E5" s="20" t="str"/>
      <x:c r="F5" s="20" t="str"/>
      <x:c r="G5" s="20" t="str"/>
      <x:c r="H5" s="20" t="str"/>
    </x:row>
    <x:row r="6">
      <x:c r="A6" s="16" t="str">
        <x:v>3</x:v>
      </x:c>
      <x:c r="B6" s="20" t="str">
        <x:v>실제 SKCT의 비공개 채점식·합격선·합격 가능성을 계산하지 않습니다.</x:v>
      </x:c>
      <x:c r="C6" s="20" t="str"/>
      <x:c r="D6" s="20" t="str"/>
      <x:c r="E6" s="20" t="str"/>
      <x:c r="F6" s="20" t="str"/>
      <x:c r="G6" s="20" t="str"/>
      <x:c r="H6" s="20" t="str"/>
    </x:row>
    <x:row r="7">
      <x:c r="A7" s="16" t="str">
        <x:v>4</x:v>
      </x:c>
      <x:c r="B7" s="20" t="str">
        <x:v>사이트에서는 이 구조를 그대로 JSON/JavaScript 객체로 구현하고 화면에 시각화하면 됩니다.</x:v>
      </x:c>
      <x:c r="C7" s="20" t="str"/>
      <x:c r="D7" s="20" t="str"/>
      <x:c r="E7" s="20" t="str"/>
      <x:c r="F7" s="20" t="str"/>
      <x:c r="G7" s="20" t="str"/>
      <x:c r="H7" s="20" t="str"/>
    </x:row>
    <x:row r="9">
      <x:c r="A9" s="11" t="str">
        <x:v>시트 구성</x:v>
      </x:c>
      <x:c r="B9" s="11"/>
      <x:c r="C9" s="11"/>
      <x:c r="D9" s="11"/>
      <x:c r="E9" s="11"/>
      <x:c r="F9" s="11"/>
      <x:c r="G9" s="11"/>
      <x:c r="H9" s="11"/>
    </x:row>
    <x:row r="10">
      <x:c r="A10" s="26" t="str">
        <x:v>시트</x:v>
      </x:c>
      <x:c r="B10" s="26" t="str">
        <x:v>역할</x:v>
      </x:c>
      <x:c r="C10" s="26" t="str">
        <x:v>사이트 대응 화면</x:v>
      </x:c>
      <x:c r="D10" t="str"/>
      <x:c r="E10" t="str"/>
      <x:c r="F10" t="str"/>
      <x:c r="G10" t="str"/>
      <x:c r="H10" t="str"/>
    </x:row>
    <x:row r="11">
      <x:c r="A11" s="20" t="str">
        <x:v>00_분석대시보드</x:v>
      </x:c>
      <x:c r="B11" s="20" t="str">
        <x:v>전체 결과 요약 / 6개 핵심축 / 주요 경고</x:v>
      </x:c>
      <x:c r="C11" s="20" t="str">
        <x:v>Overview</x:v>
      </x:c>
      <x:c r="D11" t="str"/>
      <x:c r="E11" t="str"/>
      <x:c r="F11" t="str"/>
      <x:c r="G11" t="str"/>
      <x:c r="H11" t="str"/>
    </x:row>
    <x:row r="12">
      <x:c r="A12" s="20" t="str">
        <x:v>02_정규화데이터</x:v>
      </x:c>
      <x:c r="B12" s="20" t="str">
        <x:v>PART1·PART2를 문장 1개 = 1행으로 변환</x:v>
      </x:c>
      <x:c r="C12" s="20" t="str">
        <x:v>내부 데이터</x:v>
      </x:c>
      <x:c r="D12" t="str"/>
      <x:c r="E12" t="str"/>
      <x:c r="F12" t="str"/>
      <x:c r="G12" t="str"/>
      <x:c r="H12" t="str"/>
    </x:row>
    <x:row r="13">
      <x:c r="A13" s="20" t="str">
        <x:v>03_가치별분석</x:v>
      </x:c>
      <x:c r="B13" s="20" t="str">
        <x:v>14개 dimension별 평균·가까움·멂·흔들림</x:v>
      </x:c>
      <x:c r="C13" s="20" t="str">
        <x:v>가치 프로필</x:v>
      </x:c>
      <x:c r="D13" t="str"/>
      <x:c r="E13" t="str"/>
      <x:c r="F13" t="str"/>
      <x:c r="G13" t="str"/>
      <x:c r="H13" t="str"/>
    </x:row>
    <x:row r="14">
      <x:c r="A14" s="20" t="str">
        <x:v>04_핵심6축</x:v>
      </x:c>
      <x:c r="B14" s="20" t="str">
        <x:v>14개 dimension을 6개 핵심축으로 요약</x:v>
      </x:c>
      <x:c r="C14" s="20" t="str">
        <x:v>레이더 차트</x:v>
      </x:c>
      <x:c r="D14" t="str"/>
      <x:c r="E14" t="str"/>
      <x:c r="F14" t="str"/>
      <x:c r="G14" t="str"/>
      <x:c r="H14" t="str"/>
    </x:row>
    <x:row r="15">
      <x:c r="A15" s="20" t="str">
        <x:v>05_충돌축분석</x:v>
      </x:c>
      <x:c r="B15" s="20" t="str">
        <x:v>높은 목표 vs 현실성 등 10개 충돌축</x:v>
      </x:c>
      <x:c r="C15" s="20" t="str">
        <x:v>일관성 진단</x:v>
      </x:c>
      <x:c r="D15" t="str"/>
      <x:c r="E15" t="str"/>
      <x:c r="F15" t="str"/>
      <x:c r="G15" t="str"/>
      <x:c r="H15" t="str"/>
    </x:row>
    <x:row r="16">
      <x:c r="A16" s="20" t="str">
        <x:v>06_문항쌍검증</x:v>
      </x:c>
      <x:c r="B16" s="20" t="str">
        <x:v>유사·반대 문항 직접 비교</x:v>
      </x:c>
      <x:c r="C16" s="20" t="str">
        <x:v>문항 감사</x:v>
      </x:c>
      <x:c r="D16" t="str"/>
      <x:c r="E16" t="str"/>
      <x:c r="F16" t="str"/>
      <x:c r="G16" t="str"/>
      <x:c r="H16" t="str"/>
    </x:row>
    <x:row r="17">
      <x:c r="A17" s="20" t="str">
        <x:v>07_가까움멂검증</x:v>
      </x:c>
      <x:c r="B17" s="20" t="str">
        <x:v>점수와 forced-choice 선택의 정합성 확인</x:v>
      </x:c>
      <x:c r="C17" s="20" t="str">
        <x:v>PART1 검증</x:v>
      </x:c>
      <x:c r="D17" t="str"/>
      <x:c r="E17" t="str"/>
      <x:c r="F17" t="str"/>
      <x:c r="G17" t="str"/>
      <x:c r="H17" t="str"/>
    </x:row>
    <x:row r="18">
      <x:c r="A18" s="20" t="str">
        <x:v>08_TOP5_최종요약</x:v>
      </x:c>
      <x:c r="B18" s="20" t="str">
        <x:v>유지할 기준 / 고칠 기준 / 재확인 문항</x:v>
      </x:c>
      <x:c r="C18" s="20" t="str">
        <x:v>코칭 요약</x:v>
      </x:c>
      <x:c r="D18" t="str"/>
      <x:c r="E18" t="str"/>
      <x:c r="F18" t="str"/>
      <x:c r="G18" t="str"/>
      <x:c r="H18" t="str"/>
    </x:row>
  </x:sheetData>
  <x:mergeCells>
    <x:mergeCell ref="A1:H1"/>
    <x:mergeCell ref="A3:H3"/>
    <x:mergeCell ref="A9:H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1" hidden="0" customWidth="1"/>
    <x:col min="4" max="4" width="8" hidden="0" customWidth="1"/>
    <x:col min="5" max="5" width="62" hidden="0" customWidth="1"/>
    <x:col min="6" max="6" width="22" hidden="0" customWidth="1"/>
    <x:col min="7" max="7" width="1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8" hidden="0" customWidth="1"/>
    <x:col min="13" max="13" width="12" hidden="0" customWidth="1"/>
  </x:cols>
  <x:sheetData>
    <x:row r="1">
      <x:c r="A1" s="29" t="str">
        <x:v>row_id</x:v>
      </x:c>
      <x:c r="B1" s="29" t="str">
        <x:v>part</x:v>
      </x:c>
      <x:c r="C1" s="29" t="str">
        <x:v>source_id</x:v>
      </x:c>
      <x:c r="D1" s="29" t="str">
        <x:v>option</x:v>
      </x:c>
      <x:c r="E1" s="29" t="str">
        <x:v>statement</x:v>
      </x:c>
      <x:c r="F1" s="29" t="str">
        <x:v>dimension</x:v>
      </x:c>
      <x:c r="G1" s="29" t="str">
        <x:v>polarity</x:v>
      </x:c>
      <x:c r="H1" s="29" t="str">
        <x:v>raw_score</x:v>
      </x:c>
      <x:c r="I1" s="29" t="str">
        <x:v>corrected_score</x:v>
      </x:c>
      <x:c r="J1" s="29" t="str">
        <x:v>closest_flag</x:v>
      </x:c>
      <x:c r="K1" s="29" t="str">
        <x:v>farthest_flag</x:v>
      </x:c>
      <x:c r="L1" s="29" t="str">
        <x:v>response_time_sec</x:v>
      </x:c>
      <x:c r="M1" s="29" t="str">
        <x:v>completed</x:v>
      </x:c>
    </x:row>
    <x:row r="2">
      <x:c r="A2" s="32"/>
      <x:c r="B2"/>
      <x:c r="C2"/>
      <x:c r="D2"/>
      <x:c r="E2" s="20"/>
      <x:c r="F2"/>
      <x:c r="G2"/>
      <x:c r="H2" s="34"/>
      <x:c r="I2" s="34" t="str">
        <x:f>IF(H2="","",IF(G2="역방향",8-H2,H2))</x:f>
      </x:c>
      <x:c r="J2" s="32"/>
      <x:c r="K2" s="32"/>
      <x:c r="L2" s="32"/>
      <x:c r="M2" s="32"/>
    </x:row>
    <x:row r="3">
      <x:c r="A3" s="32"/>
      <x:c r="B3"/>
      <x:c r="C3"/>
      <x:c r="D3"/>
      <x:c r="E3" s="20"/>
      <x:c r="F3"/>
      <x:c r="G3"/>
      <x:c r="H3" s="34"/>
      <x:c r="I3" s="34" t="str">
        <x:f>IF(H3="","",IF(G3="역방향",8-H3,H3))</x:f>
      </x:c>
      <x:c r="J3" s="32"/>
      <x:c r="K3" s="32"/>
      <x:c r="L3" s="32"/>
      <x:c r="M3" s="32"/>
    </x:row>
    <x:row r="4">
      <x:c r="A4" s="32"/>
      <x:c r="B4"/>
      <x:c r="C4"/>
      <x:c r="D4"/>
      <x:c r="E4" s="20"/>
      <x:c r="F4"/>
      <x:c r="G4"/>
      <x:c r="H4" s="34"/>
      <x:c r="I4" s="34" t="str">
        <x:f>IF(H4="","",IF(G4="역방향",8-H4,H4))</x:f>
      </x:c>
      <x:c r="J4" s="32"/>
      <x:c r="K4" s="32"/>
      <x:c r="L4" s="32"/>
      <x:c r="M4" s="32"/>
    </x:row>
    <x:row r="5">
      <x:c r="A5" s="32"/>
      <x:c r="B5"/>
      <x:c r="C5"/>
      <x:c r="D5"/>
      <x:c r="E5" s="20"/>
      <x:c r="F5"/>
      <x:c r="G5"/>
      <x:c r="H5" s="34"/>
      <x:c r="I5" s="34" t="str">
        <x:f>IF(H5="","",IF(G5="역방향",8-H5,H5))</x:f>
      </x:c>
      <x:c r="J5" s="32"/>
      <x:c r="K5" s="32"/>
      <x:c r="L5" s="32"/>
      <x:c r="M5" s="32"/>
    </x:row>
    <x:row r="6">
      <x:c r="A6" s="32"/>
      <x:c r="B6"/>
      <x:c r="C6"/>
      <x:c r="D6"/>
      <x:c r="E6" s="20"/>
      <x:c r="F6"/>
      <x:c r="G6"/>
      <x:c r="H6" s="34"/>
      <x:c r="I6" s="34" t="str">
        <x:f>IF(H6="","",IF(G6="역방향",8-H6,H6))</x:f>
      </x:c>
      <x:c r="J6" s="32"/>
      <x:c r="K6" s="32"/>
      <x:c r="L6" s="32"/>
      <x:c r="M6" s="32"/>
    </x:row>
    <x:row r="7">
      <x:c r="A7" s="32"/>
      <x:c r="B7"/>
      <x:c r="C7"/>
      <x:c r="D7"/>
      <x:c r="E7" s="20"/>
      <x:c r="F7"/>
      <x:c r="G7"/>
      <x:c r="H7" s="34"/>
      <x:c r="I7" s="34" t="str">
        <x:f>IF(H7="","",IF(G7="역방향",8-H7,H7))</x:f>
      </x:c>
      <x:c r="J7" s="32"/>
      <x:c r="K7" s="32"/>
      <x:c r="L7" s="32"/>
      <x:c r="M7" s="32"/>
    </x:row>
    <x:row r="8">
      <x:c r="A8" s="32"/>
      <x:c r="B8"/>
      <x:c r="C8"/>
      <x:c r="D8"/>
      <x:c r="E8" s="20"/>
      <x:c r="F8"/>
      <x:c r="G8"/>
      <x:c r="H8" s="34"/>
      <x:c r="I8" s="34" t="str">
        <x:f>IF(H8="","",IF(G8="역방향",8-H8,H8))</x:f>
      </x:c>
      <x:c r="J8" s="32"/>
      <x:c r="K8" s="32"/>
      <x:c r="L8" s="32"/>
      <x:c r="M8" s="32"/>
    </x:row>
    <x:row r="9">
      <x:c r="A9" s="32"/>
      <x:c r="B9"/>
      <x:c r="C9"/>
      <x:c r="D9"/>
      <x:c r="E9" s="20"/>
      <x:c r="F9"/>
      <x:c r="G9"/>
      <x:c r="H9" s="34"/>
      <x:c r="I9" s="34" t="str">
        <x:f>IF(H9="","",IF(G9="역방향",8-H9,H9))</x:f>
      </x:c>
      <x:c r="J9" s="32"/>
      <x:c r="K9" s="32"/>
      <x:c r="L9" s="32"/>
      <x:c r="M9" s="32"/>
    </x:row>
    <x:row r="10">
      <x:c r="A10" s="32"/>
      <x:c r="B10"/>
      <x:c r="C10"/>
      <x:c r="D10"/>
      <x:c r="E10" s="20"/>
      <x:c r="F10"/>
      <x:c r="G10"/>
      <x:c r="H10" s="34"/>
      <x:c r="I10" s="34" t="str">
        <x:f>IF(H10="","",IF(G10="역방향",8-H10,H10))</x:f>
      </x:c>
      <x:c r="J10" s="32"/>
      <x:c r="K10" s="32"/>
      <x:c r="L10" s="32"/>
      <x:c r="M10" s="32"/>
    </x:row>
    <x:row r="11">
      <x:c r="A11" s="32"/>
      <x:c r="B11"/>
      <x:c r="C11"/>
      <x:c r="D11"/>
      <x:c r="E11" s="20"/>
      <x:c r="F11"/>
      <x:c r="G11"/>
      <x:c r="H11" s="34"/>
      <x:c r="I11" s="34" t="str">
        <x:f>IF(H11="","",IF(G11="역방향",8-H11,H11))</x:f>
      </x:c>
      <x:c r="J11" s="32"/>
      <x:c r="K11" s="32"/>
      <x:c r="L11" s="32"/>
      <x:c r="M11" s="32"/>
    </x:row>
    <x:row r="12">
      <x:c r="A12" s="32"/>
      <x:c r="B12"/>
      <x:c r="C12"/>
      <x:c r="D12"/>
      <x:c r="E12" s="20"/>
      <x:c r="F12"/>
      <x:c r="G12"/>
      <x:c r="H12" s="34"/>
      <x:c r="I12" s="34" t="str">
        <x:f>IF(H12="","",IF(G12="역방향",8-H12,H12))</x:f>
      </x:c>
      <x:c r="J12" s="32"/>
      <x:c r="K12" s="32"/>
      <x:c r="L12" s="32"/>
      <x:c r="M12" s="32"/>
    </x:row>
    <x:row r="13">
      <x:c r="A13" s="32"/>
      <x:c r="B13"/>
      <x:c r="C13"/>
      <x:c r="D13"/>
      <x:c r="E13" s="20"/>
      <x:c r="F13"/>
      <x:c r="G13"/>
      <x:c r="H13" s="34"/>
      <x:c r="I13" s="34" t="str">
        <x:f>IF(H13="","",IF(G13="역방향",8-H13,H13))</x:f>
      </x:c>
      <x:c r="J13" s="32"/>
      <x:c r="K13" s="32"/>
      <x:c r="L13" s="32"/>
      <x:c r="M13" s="32"/>
    </x:row>
    <x:row r="14">
      <x:c r="A14" s="32"/>
      <x:c r="B14"/>
      <x:c r="C14"/>
      <x:c r="D14"/>
      <x:c r="E14" s="20"/>
      <x:c r="F14"/>
      <x:c r="G14"/>
      <x:c r="H14" s="34"/>
      <x:c r="I14" s="34" t="str">
        <x:f>IF(H14="","",IF(G14="역방향",8-H14,H14))</x:f>
      </x:c>
      <x:c r="J14" s="32"/>
      <x:c r="K14" s="32"/>
      <x:c r="L14" s="32"/>
      <x:c r="M14" s="32"/>
    </x:row>
    <x:row r="15">
      <x:c r="A15" s="32"/>
      <x:c r="B15"/>
      <x:c r="C15"/>
      <x:c r="D15"/>
      <x:c r="E15" s="20"/>
      <x:c r="F15"/>
      <x:c r="G15"/>
      <x:c r="H15" s="34"/>
      <x:c r="I15" s="34" t="str">
        <x:f>IF(H15="","",IF(G15="역방향",8-H15,H15))</x:f>
      </x:c>
      <x:c r="J15" s="32"/>
      <x:c r="K15" s="32"/>
      <x:c r="L15" s="32"/>
      <x:c r="M15" s="32"/>
    </x:row>
    <x:row r="16">
      <x:c r="A16" s="32"/>
      <x:c r="B16"/>
      <x:c r="C16"/>
      <x:c r="D16"/>
      <x:c r="E16" s="20"/>
      <x:c r="F16"/>
      <x:c r="G16"/>
      <x:c r="H16" s="34"/>
      <x:c r="I16" s="34" t="str">
        <x:f>IF(H16="","",IF(G16="역방향",8-H16,H16))</x:f>
      </x:c>
      <x:c r="J16" s="32"/>
      <x:c r="K16" s="32"/>
      <x:c r="L16" s="32"/>
      <x:c r="M16" s="32"/>
    </x:row>
    <x:row r="17">
      <x:c r="A17" s="32"/>
      <x:c r="B17"/>
      <x:c r="C17"/>
      <x:c r="D17"/>
      <x:c r="E17" s="20"/>
      <x:c r="F17"/>
      <x:c r="G17"/>
      <x:c r="H17" s="34"/>
      <x:c r="I17" s="34" t="str">
        <x:f>IF(H17="","",IF(G17="역방향",8-H17,H17))</x:f>
      </x:c>
      <x:c r="J17" s="32"/>
      <x:c r="K17" s="32"/>
      <x:c r="L17" s="32"/>
      <x:c r="M17" s="32"/>
    </x:row>
    <x:row r="18">
      <x:c r="A18" s="32"/>
      <x:c r="B18"/>
      <x:c r="C18"/>
      <x:c r="D18"/>
      <x:c r="E18" s="20"/>
      <x:c r="F18"/>
      <x:c r="G18"/>
      <x:c r="H18" s="34"/>
      <x:c r="I18" s="34" t="str">
        <x:f>IF(H18="","",IF(G18="역방향",8-H18,H18))</x:f>
      </x:c>
      <x:c r="J18" s="32"/>
      <x:c r="K18" s="32"/>
      <x:c r="L18" s="32"/>
      <x:c r="M18" s="32"/>
    </x:row>
    <x:row r="19">
      <x:c r="A19" s="32"/>
      <x:c r="B19"/>
      <x:c r="C19"/>
      <x:c r="D19"/>
      <x:c r="E19" s="20"/>
      <x:c r="F19"/>
      <x:c r="G19"/>
      <x:c r="H19" s="34"/>
      <x:c r="I19" s="34" t="str">
        <x:f>IF(H19="","",IF(G19="역방향",8-H19,H19))</x:f>
      </x:c>
      <x:c r="J19" s="32"/>
      <x:c r="K19" s="32"/>
      <x:c r="L19" s="32"/>
      <x:c r="M19" s="32"/>
    </x:row>
    <x:row r="20">
      <x:c r="A20" s="32"/>
      <x:c r="B20"/>
      <x:c r="C20"/>
      <x:c r="D20"/>
      <x:c r="E20" s="20"/>
      <x:c r="F20"/>
      <x:c r="G20"/>
      <x:c r="H20" s="34"/>
      <x:c r="I20" s="34" t="str">
        <x:f>IF(H20="","",IF(G20="역방향",8-H20,H20))</x:f>
      </x:c>
      <x:c r="J20" s="32"/>
      <x:c r="K20" s="32"/>
      <x:c r="L20" s="32"/>
      <x:c r="M20" s="32"/>
    </x:row>
    <x:row r="21">
      <x:c r="A21" s="32"/>
      <x:c r="B21"/>
      <x:c r="C21"/>
      <x:c r="D21"/>
      <x:c r="E21" s="20"/>
      <x:c r="F21"/>
      <x:c r="G21"/>
      <x:c r="H21" s="34"/>
      <x:c r="I21" s="34" t="str">
        <x:f>IF(H21="","",IF(G21="역방향",8-H21,H21))</x:f>
      </x:c>
      <x:c r="J21" s="32"/>
      <x:c r="K21" s="32"/>
      <x:c r="L21" s="32"/>
      <x:c r="M21" s="32"/>
    </x:row>
    <x:row r="22">
      <x:c r="A22" s="32"/>
      <x:c r="B22"/>
      <x:c r="C22"/>
      <x:c r="D22"/>
      <x:c r="E22" s="20"/>
      <x:c r="F22"/>
      <x:c r="G22"/>
      <x:c r="H22" s="34"/>
      <x:c r="I22" s="34" t="str">
        <x:f>IF(H22="","",IF(G22="역방향",8-H22,H22))</x:f>
      </x:c>
      <x:c r="J22" s="32"/>
      <x:c r="K22" s="32"/>
      <x:c r="L22" s="32"/>
      <x:c r="M22" s="32"/>
    </x:row>
    <x:row r="23">
      <x:c r="A23" s="32"/>
      <x:c r="B23"/>
      <x:c r="C23"/>
      <x:c r="D23"/>
      <x:c r="E23" s="20"/>
      <x:c r="F23"/>
      <x:c r="G23"/>
      <x:c r="H23" s="34"/>
      <x:c r="I23" s="34" t="str">
        <x:f>IF(H23="","",IF(G23="역방향",8-H23,H23))</x:f>
      </x:c>
      <x:c r="J23" s="32"/>
      <x:c r="K23" s="32"/>
      <x:c r="L23" s="32"/>
      <x:c r="M23" s="32"/>
    </x:row>
    <x:row r="24">
      <x:c r="A24" s="32"/>
      <x:c r="B24"/>
      <x:c r="C24"/>
      <x:c r="D24"/>
      <x:c r="E24" s="20"/>
      <x:c r="F24"/>
      <x:c r="G24"/>
      <x:c r="H24" s="34"/>
      <x:c r="I24" s="34" t="str">
        <x:f>IF(H24="","",IF(G24="역방향",8-H24,H24))</x:f>
      </x:c>
      <x:c r="J24" s="32"/>
      <x:c r="K24" s="32"/>
      <x:c r="L24" s="32"/>
      <x:c r="M24" s="32"/>
    </x:row>
    <x:row r="25">
      <x:c r="A25" s="32"/>
      <x:c r="B25"/>
      <x:c r="C25"/>
      <x:c r="D25"/>
      <x:c r="E25" s="20"/>
      <x:c r="F25"/>
      <x:c r="G25"/>
      <x:c r="H25" s="34"/>
      <x:c r="I25" s="34" t="str">
        <x:f>IF(H25="","",IF(G25="역방향",8-H25,H25))</x:f>
      </x:c>
      <x:c r="J25" s="32"/>
      <x:c r="K25" s="32"/>
      <x:c r="L25" s="32"/>
      <x:c r="M25" s="32"/>
    </x:row>
    <x:row r="26">
      <x:c r="A26" s="32"/>
      <x:c r="B26"/>
      <x:c r="C26"/>
      <x:c r="D26"/>
      <x:c r="E26" s="20"/>
      <x:c r="F26"/>
      <x:c r="G26"/>
      <x:c r="H26" s="34"/>
      <x:c r="I26" s="34" t="str">
        <x:f>IF(H26="","",IF(G26="역방향",8-H26,H26))</x:f>
      </x:c>
      <x:c r="J26" s="32"/>
      <x:c r="K26" s="32"/>
      <x:c r="L26" s="32"/>
      <x:c r="M26" s="32"/>
    </x:row>
    <x:row r="27">
      <x:c r="A27" s="32"/>
      <x:c r="B27"/>
      <x:c r="C27"/>
      <x:c r="D27"/>
      <x:c r="E27" s="20"/>
      <x:c r="F27"/>
      <x:c r="G27"/>
      <x:c r="H27" s="34"/>
      <x:c r="I27" s="34" t="str">
        <x:f>IF(H27="","",IF(G27="역방향",8-H27,H27))</x:f>
      </x:c>
      <x:c r="J27" s="32"/>
      <x:c r="K27" s="32"/>
      <x:c r="L27" s="32"/>
      <x:c r="M27" s="32"/>
    </x:row>
    <x:row r="28">
      <x:c r="A28" s="32"/>
      <x:c r="B28"/>
      <x:c r="C28"/>
      <x:c r="D28"/>
      <x:c r="E28" s="20"/>
      <x:c r="F28"/>
      <x:c r="G28"/>
      <x:c r="H28" s="34"/>
      <x:c r="I28" s="34" t="str">
        <x:f>IF(H28="","",IF(G28="역방향",8-H28,H28))</x:f>
      </x:c>
      <x:c r="J28" s="32"/>
      <x:c r="K28" s="32"/>
      <x:c r="L28" s="32"/>
      <x:c r="M28" s="32"/>
    </x:row>
    <x:row r="29">
      <x:c r="A29" s="32"/>
      <x:c r="B29"/>
      <x:c r="C29"/>
      <x:c r="D29"/>
      <x:c r="E29" s="20"/>
      <x:c r="F29"/>
      <x:c r="G29"/>
      <x:c r="H29" s="34"/>
      <x:c r="I29" s="34" t="str">
        <x:f>IF(H29="","",IF(G29="역방향",8-H29,H29))</x:f>
      </x:c>
      <x:c r="J29" s="32"/>
      <x:c r="K29" s="32"/>
      <x:c r="L29" s="32"/>
      <x:c r="M29" s="32"/>
    </x:row>
    <x:row r="30">
      <x:c r="A30" s="32"/>
      <x:c r="B30"/>
      <x:c r="C30"/>
      <x:c r="D30"/>
      <x:c r="E30" s="20"/>
      <x:c r="F30"/>
      <x:c r="G30"/>
      <x:c r="H30" s="34"/>
      <x:c r="I30" s="34" t="str">
        <x:f>IF(H30="","",IF(G30="역방향",8-H30,H30))</x:f>
      </x:c>
      <x:c r="J30" s="32"/>
      <x:c r="K30" s="32"/>
      <x:c r="L30" s="32"/>
      <x:c r="M30" s="32"/>
    </x:row>
    <x:row r="31">
      <x:c r="A31" s="32"/>
      <x:c r="B31"/>
      <x:c r="C31"/>
      <x:c r="D31"/>
      <x:c r="E31" s="20"/>
      <x:c r="F31"/>
      <x:c r="G31"/>
      <x:c r="H31" s="34"/>
      <x:c r="I31" s="34" t="str">
        <x:f>IF(H31="","",IF(G31="역방향",8-H31,H31))</x:f>
      </x:c>
      <x:c r="J31" s="32"/>
      <x:c r="K31" s="32"/>
      <x:c r="L31" s="32"/>
      <x:c r="M31" s="32"/>
    </x:row>
    <x:row r="32">
      <x:c r="A32" s="32"/>
      <x:c r="B32"/>
      <x:c r="C32"/>
      <x:c r="D32"/>
      <x:c r="E32" s="20"/>
      <x:c r="F32"/>
      <x:c r="G32"/>
      <x:c r="H32" s="34"/>
      <x:c r="I32" s="34" t="str">
        <x:f>IF(H32="","",IF(G32="역방향",8-H32,H32))</x:f>
      </x:c>
      <x:c r="J32" s="32"/>
      <x:c r="K32" s="32"/>
      <x:c r="L32" s="32"/>
      <x:c r="M32" s="32"/>
    </x:row>
    <x:row r="33">
      <x:c r="A33" s="32"/>
      <x:c r="B33"/>
      <x:c r="C33"/>
      <x:c r="D33"/>
      <x:c r="E33" s="20"/>
      <x:c r="F33"/>
      <x:c r="G33"/>
      <x:c r="H33" s="34"/>
      <x:c r="I33" s="34" t="str">
        <x:f>IF(H33="","",IF(G33="역방향",8-H33,H33))</x:f>
      </x:c>
      <x:c r="J33" s="32"/>
      <x:c r="K33" s="32"/>
      <x:c r="L33" s="32"/>
      <x:c r="M33" s="32"/>
    </x:row>
    <x:row r="34">
      <x:c r="A34" s="32"/>
      <x:c r="B34"/>
      <x:c r="C34"/>
      <x:c r="D34"/>
      <x:c r="E34" s="20"/>
      <x:c r="F34"/>
      <x:c r="G34"/>
      <x:c r="H34" s="34"/>
      <x:c r="I34" s="34" t="str">
        <x:f>IF(H34="","",IF(G34="역방향",8-H34,H34))</x:f>
      </x:c>
      <x:c r="J34" s="32"/>
      <x:c r="K34" s="32"/>
      <x:c r="L34" s="32"/>
      <x:c r="M34" s="32"/>
    </x:row>
    <x:row r="35">
      <x:c r="A35" s="32"/>
      <x:c r="B35"/>
      <x:c r="C35"/>
      <x:c r="D35"/>
      <x:c r="E35" s="20"/>
      <x:c r="F35"/>
      <x:c r="G35"/>
      <x:c r="H35" s="34"/>
      <x:c r="I35" s="34" t="str">
        <x:f>IF(H35="","",IF(G35="역방향",8-H35,H35))</x:f>
      </x:c>
      <x:c r="J35" s="32"/>
      <x:c r="K35" s="32"/>
      <x:c r="L35" s="32"/>
      <x:c r="M35" s="32"/>
    </x:row>
    <x:row r="36">
      <x:c r="A36" s="32"/>
      <x:c r="B36"/>
      <x:c r="C36"/>
      <x:c r="D36"/>
      <x:c r="E36" s="20"/>
      <x:c r="F36"/>
      <x:c r="G36"/>
      <x:c r="H36" s="34"/>
      <x:c r="I36" s="34" t="str">
        <x:f>IF(H36="","",IF(G36="역방향",8-H36,H36))</x:f>
      </x:c>
      <x:c r="J36" s="32"/>
      <x:c r="K36" s="32"/>
      <x:c r="L36" s="32"/>
      <x:c r="M36" s="32"/>
    </x:row>
    <x:row r="37">
      <x:c r="A37" s="32"/>
      <x:c r="B37"/>
      <x:c r="C37"/>
      <x:c r="D37"/>
      <x:c r="E37" s="20"/>
      <x:c r="F37"/>
      <x:c r="G37"/>
      <x:c r="H37" s="34"/>
      <x:c r="I37" s="34" t="str">
        <x:f>IF(H37="","",IF(G37="역방향",8-H37,H37))</x:f>
      </x:c>
      <x:c r="J37" s="32"/>
      <x:c r="K37" s="32"/>
      <x:c r="L37" s="32"/>
      <x:c r="M37" s="32"/>
    </x:row>
    <x:row r="38">
      <x:c r="A38" s="32"/>
      <x:c r="B38"/>
      <x:c r="C38"/>
      <x:c r="D38"/>
      <x:c r="E38" s="20"/>
      <x:c r="F38"/>
      <x:c r="G38"/>
      <x:c r="H38" s="34"/>
      <x:c r="I38" s="34" t="str">
        <x:f>IF(H38="","",IF(G38="역방향",8-H38,H38))</x:f>
      </x:c>
      <x:c r="J38" s="32"/>
      <x:c r="K38" s="32"/>
      <x:c r="L38" s="32"/>
      <x:c r="M38" s="32"/>
    </x:row>
    <x:row r="39">
      <x:c r="A39" s="32"/>
      <x:c r="B39"/>
      <x:c r="C39"/>
      <x:c r="D39"/>
      <x:c r="E39" s="20"/>
      <x:c r="F39"/>
      <x:c r="G39"/>
      <x:c r="H39" s="34"/>
      <x:c r="I39" s="34" t="str">
        <x:f>IF(H39="","",IF(G39="역방향",8-H39,H39))</x:f>
      </x:c>
      <x:c r="J39" s="32"/>
      <x:c r="K39" s="32"/>
      <x:c r="L39" s="32"/>
      <x:c r="M39" s="32"/>
    </x:row>
    <x:row r="40">
      <x:c r="A40" s="32"/>
      <x:c r="B40"/>
      <x:c r="C40"/>
      <x:c r="D40"/>
      <x:c r="E40" s="20"/>
      <x:c r="F40"/>
      <x:c r="G40"/>
      <x:c r="H40" s="34"/>
      <x:c r="I40" s="34" t="str">
        <x:f>IF(H40="","",IF(G40="역방향",8-H40,H40))</x:f>
      </x:c>
      <x:c r="J40" s="32"/>
      <x:c r="K40" s="32"/>
      <x:c r="L40" s="32"/>
      <x:c r="M40" s="32"/>
    </x:row>
    <x:row r="41">
      <x:c r="A41" s="32"/>
      <x:c r="B41"/>
      <x:c r="C41"/>
      <x:c r="D41"/>
      <x:c r="E41" s="20"/>
      <x:c r="F41"/>
      <x:c r="G41"/>
      <x:c r="H41" s="34"/>
      <x:c r="I41" s="34" t="str">
        <x:f>IF(H41="","",IF(G41="역방향",8-H41,H41))</x:f>
      </x:c>
      <x:c r="J41" s="32"/>
      <x:c r="K41" s="32"/>
      <x:c r="L41" s="32"/>
      <x:c r="M41" s="32"/>
    </x:row>
    <x:row r="42">
      <x:c r="A42" s="32"/>
      <x:c r="B42"/>
      <x:c r="C42"/>
      <x:c r="D42"/>
      <x:c r="E42" s="20"/>
      <x:c r="F42"/>
      <x:c r="G42"/>
      <x:c r="H42" s="34"/>
      <x:c r="I42" s="34" t="str">
        <x:f>IF(H42="","",IF(G42="역방향",8-H42,H42))</x:f>
      </x:c>
      <x:c r="J42" s="32"/>
      <x:c r="K42" s="32"/>
      <x:c r="L42" s="32"/>
      <x:c r="M42" s="32"/>
    </x:row>
    <x:row r="43">
      <x:c r="A43" s="32"/>
      <x:c r="B43"/>
      <x:c r="C43"/>
      <x:c r="D43"/>
      <x:c r="E43" s="20"/>
      <x:c r="F43"/>
      <x:c r="G43"/>
      <x:c r="H43" s="34"/>
      <x:c r="I43" s="34" t="str">
        <x:f>IF(H43="","",IF(G43="역방향",8-H43,H43))</x:f>
      </x:c>
      <x:c r="J43" s="32"/>
      <x:c r="K43" s="32"/>
      <x:c r="L43" s="32"/>
      <x:c r="M43" s="32"/>
    </x:row>
    <x:row r="44">
      <x:c r="A44" s="32"/>
      <x:c r="B44"/>
      <x:c r="C44"/>
      <x:c r="D44"/>
      <x:c r="E44" s="20"/>
      <x:c r="F44"/>
      <x:c r="G44"/>
      <x:c r="H44" s="34"/>
      <x:c r="I44" s="34" t="str">
        <x:f>IF(H44="","",IF(G44="역방향",8-H44,H44))</x:f>
      </x:c>
      <x:c r="J44" s="32"/>
      <x:c r="K44" s="32"/>
      <x:c r="L44" s="32"/>
      <x:c r="M44" s="32"/>
    </x:row>
    <x:row r="45">
      <x:c r="A45" s="32"/>
      <x:c r="B45"/>
      <x:c r="C45"/>
      <x:c r="D45"/>
      <x:c r="E45" s="20"/>
      <x:c r="F45"/>
      <x:c r="G45"/>
      <x:c r="H45" s="34"/>
      <x:c r="I45" s="34" t="str">
        <x:f>IF(H45="","",IF(G45="역방향",8-H45,H45))</x:f>
      </x:c>
      <x:c r="J45" s="32"/>
      <x:c r="K45" s="32"/>
      <x:c r="L45" s="32"/>
      <x:c r="M45" s="32"/>
    </x:row>
    <x:row r="46">
      <x:c r="A46" s="32"/>
      <x:c r="B46"/>
      <x:c r="C46"/>
      <x:c r="D46"/>
      <x:c r="E46" s="20"/>
      <x:c r="F46"/>
      <x:c r="G46"/>
      <x:c r="H46" s="34"/>
      <x:c r="I46" s="34" t="str">
        <x:f>IF(H46="","",IF(G46="역방향",8-H46,H46))</x:f>
      </x:c>
      <x:c r="J46" s="32"/>
      <x:c r="K46" s="32"/>
      <x:c r="L46" s="32"/>
      <x:c r="M46" s="32"/>
    </x:row>
    <x:row r="47">
      <x:c r="A47" s="32"/>
      <x:c r="B47"/>
      <x:c r="C47"/>
      <x:c r="D47"/>
      <x:c r="E47" s="20"/>
      <x:c r="F47"/>
      <x:c r="G47"/>
      <x:c r="H47" s="34"/>
      <x:c r="I47" s="34" t="str">
        <x:f>IF(H47="","",IF(G47="역방향",8-H47,H47))</x:f>
      </x:c>
      <x:c r="J47" s="32"/>
      <x:c r="K47" s="32"/>
      <x:c r="L47" s="32"/>
      <x:c r="M47" s="32"/>
    </x:row>
    <x:row r="48">
      <x:c r="A48" s="32"/>
      <x:c r="B48"/>
      <x:c r="C48"/>
      <x:c r="D48"/>
      <x:c r="E48" s="20"/>
      <x:c r="F48"/>
      <x:c r="G48"/>
      <x:c r="H48" s="34"/>
      <x:c r="I48" s="34" t="str">
        <x:f>IF(H48="","",IF(G48="역방향",8-H48,H48))</x:f>
      </x:c>
      <x:c r="J48" s="32"/>
      <x:c r="K48" s="32"/>
      <x:c r="L48" s="32"/>
      <x:c r="M48" s="32"/>
    </x:row>
    <x:row r="49">
      <x:c r="A49" s="32"/>
      <x:c r="B49"/>
      <x:c r="C49"/>
      <x:c r="D49"/>
      <x:c r="E49" s="20"/>
      <x:c r="F49"/>
      <x:c r="G49"/>
      <x:c r="H49" s="34"/>
      <x:c r="I49" s="34" t="str">
        <x:f>IF(H49="","",IF(G49="역방향",8-H49,H49))</x:f>
      </x:c>
      <x:c r="J49" s="32"/>
      <x:c r="K49" s="32"/>
      <x:c r="L49" s="32"/>
      <x:c r="M49" s="32"/>
    </x:row>
    <x:row r="50">
      <x:c r="A50" s="32"/>
      <x:c r="B50"/>
      <x:c r="C50"/>
      <x:c r="D50"/>
      <x:c r="E50" s="20"/>
      <x:c r="F50"/>
      <x:c r="G50"/>
      <x:c r="H50" s="34"/>
      <x:c r="I50" s="34" t="str">
        <x:f>IF(H50="","",IF(G50="역방향",8-H50,H50))</x:f>
      </x:c>
      <x:c r="J50" s="32"/>
      <x:c r="K50" s="32"/>
      <x:c r="L50" s="32"/>
      <x:c r="M50" s="32"/>
    </x:row>
    <x:row r="51">
      <x:c r="A51" s="32"/>
      <x:c r="B51"/>
      <x:c r="C51"/>
      <x:c r="D51"/>
      <x:c r="E51" s="20"/>
      <x:c r="F51"/>
      <x:c r="G51"/>
      <x:c r="H51" s="34"/>
      <x:c r="I51" s="34" t="str">
        <x:f>IF(H51="","",IF(G51="역방향",8-H51,H51))</x:f>
      </x:c>
      <x:c r="J51" s="32"/>
      <x:c r="K51" s="32"/>
      <x:c r="L51" s="32"/>
      <x:c r="M51" s="32"/>
    </x:row>
    <x:row r="52">
      <x:c r="A52" s="32"/>
      <x:c r="B52"/>
      <x:c r="C52"/>
      <x:c r="D52"/>
      <x:c r="E52" s="20"/>
      <x:c r="F52"/>
      <x:c r="G52"/>
      <x:c r="H52" s="34"/>
      <x:c r="I52" s="34" t="str">
        <x:f>IF(H52="","",IF(G52="역방향",8-H52,H52))</x:f>
      </x:c>
      <x:c r="J52" s="32"/>
      <x:c r="K52" s="32"/>
      <x:c r="L52" s="32"/>
      <x:c r="M52" s="32"/>
    </x:row>
    <x:row r="53">
      <x:c r="A53" s="32"/>
      <x:c r="B53"/>
      <x:c r="C53"/>
      <x:c r="D53"/>
      <x:c r="E53" s="20"/>
      <x:c r="F53"/>
      <x:c r="G53"/>
      <x:c r="H53" s="34"/>
      <x:c r="I53" s="34" t="str">
        <x:f>IF(H53="","",IF(G53="역방향",8-H53,H53))</x:f>
      </x:c>
      <x:c r="J53" s="32"/>
      <x:c r="K53" s="32"/>
      <x:c r="L53" s="32"/>
      <x:c r="M53" s="32"/>
    </x:row>
    <x:row r="54">
      <x:c r="A54" s="32"/>
      <x:c r="B54"/>
      <x:c r="C54"/>
      <x:c r="D54"/>
      <x:c r="E54" s="20"/>
      <x:c r="F54"/>
      <x:c r="G54"/>
      <x:c r="H54" s="34"/>
      <x:c r="I54" s="34" t="str">
        <x:f>IF(H54="","",IF(G54="역방향",8-H54,H54))</x:f>
      </x:c>
      <x:c r="J54" s="32"/>
      <x:c r="K54" s="32"/>
      <x:c r="L54" s="32"/>
      <x:c r="M54" s="32"/>
    </x:row>
    <x:row r="55">
      <x:c r="A55" s="32"/>
      <x:c r="B55"/>
      <x:c r="C55"/>
      <x:c r="D55"/>
      <x:c r="E55" s="20"/>
      <x:c r="F55"/>
      <x:c r="G55"/>
      <x:c r="H55" s="34"/>
      <x:c r="I55" s="34" t="str">
        <x:f>IF(H55="","",IF(G55="역방향",8-H55,H55))</x:f>
      </x:c>
      <x:c r="J55" s="32"/>
      <x:c r="K55" s="32"/>
      <x:c r="L55" s="32"/>
      <x:c r="M55" s="32"/>
    </x:row>
    <x:row r="56">
      <x:c r="A56" s="32"/>
      <x:c r="B56"/>
      <x:c r="C56"/>
      <x:c r="D56"/>
      <x:c r="E56" s="20"/>
      <x:c r="F56"/>
      <x:c r="G56"/>
      <x:c r="H56" s="34"/>
      <x:c r="I56" s="34" t="str">
        <x:f>IF(H56="","",IF(G56="역방향",8-H56,H56))</x:f>
      </x:c>
      <x:c r="J56" s="32"/>
      <x:c r="K56" s="32"/>
      <x:c r="L56" s="32"/>
      <x:c r="M56" s="32"/>
    </x:row>
    <x:row r="57">
      <x:c r="A57" s="32"/>
      <x:c r="B57"/>
      <x:c r="C57"/>
      <x:c r="D57"/>
      <x:c r="E57" s="20"/>
      <x:c r="F57"/>
      <x:c r="G57"/>
      <x:c r="H57" s="34"/>
      <x:c r="I57" s="34" t="str">
        <x:f>IF(H57="","",IF(G57="역방향",8-H57,H57))</x:f>
      </x:c>
      <x:c r="J57" s="32"/>
      <x:c r="K57" s="32"/>
      <x:c r="L57" s="32"/>
      <x:c r="M57" s="32"/>
    </x:row>
    <x:row r="58">
      <x:c r="A58" s="32"/>
      <x:c r="B58"/>
      <x:c r="C58"/>
      <x:c r="D58"/>
      <x:c r="E58" s="20"/>
      <x:c r="F58"/>
      <x:c r="G58"/>
      <x:c r="H58" s="34"/>
      <x:c r="I58" s="34" t="str">
        <x:f>IF(H58="","",IF(G58="역방향",8-H58,H58))</x:f>
      </x:c>
      <x:c r="J58" s="32"/>
      <x:c r="K58" s="32"/>
      <x:c r="L58" s="32"/>
      <x:c r="M58" s="32"/>
    </x:row>
    <x:row r="59">
      <x:c r="A59" s="32"/>
      <x:c r="B59"/>
      <x:c r="C59"/>
      <x:c r="D59"/>
      <x:c r="E59" s="20"/>
      <x:c r="F59"/>
      <x:c r="G59"/>
      <x:c r="H59" s="34"/>
      <x:c r="I59" s="34" t="str">
        <x:f>IF(H59="","",IF(G59="역방향",8-H59,H59))</x:f>
      </x:c>
      <x:c r="J59" s="32"/>
      <x:c r="K59" s="32"/>
      <x:c r="L59" s="32"/>
      <x:c r="M59" s="32"/>
    </x:row>
    <x:row r="60">
      <x:c r="A60" s="32"/>
      <x:c r="B60"/>
      <x:c r="C60"/>
      <x:c r="D60"/>
      <x:c r="E60" s="20"/>
      <x:c r="F60"/>
      <x:c r="G60"/>
      <x:c r="H60" s="34"/>
      <x:c r="I60" s="34" t="str">
        <x:f>IF(H60="","",IF(G60="역방향",8-H60,H60))</x:f>
      </x:c>
      <x:c r="J60" s="32"/>
      <x:c r="K60" s="32"/>
      <x:c r="L60" s="32"/>
      <x:c r="M60" s="32"/>
    </x:row>
    <x:row r="61">
      <x:c r="A61" s="32"/>
      <x:c r="B61"/>
      <x:c r="C61"/>
      <x:c r="D61"/>
      <x:c r="E61" s="20"/>
      <x:c r="F61"/>
      <x:c r="G61"/>
      <x:c r="H61" s="34"/>
      <x:c r="I61" s="34" t="str">
        <x:f>IF(H61="","",IF(G61="역방향",8-H61,H61))</x:f>
      </x:c>
      <x:c r="J61" s="32"/>
      <x:c r="K61" s="32"/>
      <x:c r="L61" s="32"/>
      <x:c r="M61" s="32"/>
    </x:row>
    <x:row r="62">
      <x:c r="A62" s="32"/>
      <x:c r="B62"/>
      <x:c r="C62"/>
      <x:c r="D62"/>
      <x:c r="E62" s="20"/>
      <x:c r="F62"/>
      <x:c r="G62"/>
      <x:c r="H62" s="34"/>
      <x:c r="I62" s="34" t="str">
        <x:f>IF(H62="","",IF(G62="역방향",8-H62,H62))</x:f>
      </x:c>
      <x:c r="J62" s="32"/>
      <x:c r="K62" s="32"/>
      <x:c r="L62" s="32"/>
      <x:c r="M62" s="32"/>
    </x:row>
    <x:row r="63">
      <x:c r="A63" s="32"/>
      <x:c r="B63"/>
      <x:c r="C63"/>
      <x:c r="D63"/>
      <x:c r="E63" s="20"/>
      <x:c r="F63"/>
      <x:c r="G63"/>
      <x:c r="H63" s="34"/>
      <x:c r="I63" s="34" t="str">
        <x:f>IF(H63="","",IF(G63="역방향",8-H63,H63))</x:f>
      </x:c>
      <x:c r="J63" s="32"/>
      <x:c r="K63" s="32"/>
      <x:c r="L63" s="32"/>
      <x:c r="M63" s="32"/>
    </x:row>
    <x:row r="64">
      <x:c r="A64" s="32"/>
      <x:c r="B64"/>
      <x:c r="C64"/>
      <x:c r="D64"/>
      <x:c r="E64" s="20"/>
      <x:c r="F64"/>
      <x:c r="G64"/>
      <x:c r="H64" s="34"/>
      <x:c r="I64" s="34" t="str">
        <x:f>IF(H64="","",IF(G64="역방향",8-H64,H64))</x:f>
      </x:c>
      <x:c r="J64" s="32"/>
      <x:c r="K64" s="32"/>
      <x:c r="L64" s="32"/>
      <x:c r="M64" s="32"/>
    </x:row>
    <x:row r="65">
      <x:c r="A65" s="32"/>
      <x:c r="B65"/>
      <x:c r="C65"/>
      <x:c r="D65"/>
      <x:c r="E65" s="20"/>
      <x:c r="F65"/>
      <x:c r="G65"/>
      <x:c r="H65" s="34"/>
      <x:c r="I65" s="34" t="str">
        <x:f>IF(H65="","",IF(G65="역방향",8-H65,H65))</x:f>
      </x:c>
      <x:c r="J65" s="32"/>
      <x:c r="K65" s="32"/>
      <x:c r="L65" s="32"/>
      <x:c r="M65" s="32"/>
    </x:row>
    <x:row r="66">
      <x:c r="A66" s="32"/>
      <x:c r="B66"/>
      <x:c r="C66"/>
      <x:c r="D66"/>
      <x:c r="E66" s="20"/>
      <x:c r="F66"/>
      <x:c r="G66"/>
      <x:c r="H66" s="34"/>
      <x:c r="I66" s="34" t="str">
        <x:f>IF(H66="","",IF(G66="역방향",8-H66,H66))</x:f>
      </x:c>
      <x:c r="J66" s="32"/>
      <x:c r="K66" s="32"/>
      <x:c r="L66" s="32"/>
      <x:c r="M66" s="32"/>
    </x:row>
    <x:row r="67">
      <x:c r="A67" s="32"/>
      <x:c r="B67"/>
      <x:c r="C67"/>
      <x:c r="D67"/>
      <x:c r="E67" s="20"/>
      <x:c r="F67"/>
      <x:c r="G67"/>
      <x:c r="H67" s="34"/>
      <x:c r="I67" s="34" t="str">
        <x:f>IF(H67="","",IF(G67="역방향",8-H67,H67))</x:f>
      </x:c>
      <x:c r="J67" s="32"/>
      <x:c r="K67" s="32"/>
      <x:c r="L67" s="32"/>
      <x:c r="M67" s="32"/>
    </x:row>
    <x:row r="68">
      <x:c r="A68" s="32"/>
      <x:c r="B68"/>
      <x:c r="C68"/>
      <x:c r="D68"/>
      <x:c r="E68" s="20"/>
      <x:c r="F68"/>
      <x:c r="G68"/>
      <x:c r="H68" s="34"/>
      <x:c r="I68" s="34" t="str">
        <x:f>IF(H68="","",IF(G68="역방향",8-H68,H68))</x:f>
      </x:c>
      <x:c r="J68" s="32"/>
      <x:c r="K68" s="32"/>
      <x:c r="L68" s="32"/>
      <x:c r="M68" s="32"/>
    </x:row>
    <x:row r="69">
      <x:c r="A69" s="32"/>
      <x:c r="B69"/>
      <x:c r="C69"/>
      <x:c r="D69"/>
      <x:c r="E69" s="20"/>
      <x:c r="F69"/>
      <x:c r="G69"/>
      <x:c r="H69" s="34"/>
      <x:c r="I69" s="34" t="str">
        <x:f>IF(H69="","",IF(G69="역방향",8-H69,H69))</x:f>
      </x:c>
      <x:c r="J69" s="32"/>
      <x:c r="K69" s="32"/>
      <x:c r="L69" s="32"/>
      <x:c r="M69" s="32"/>
    </x:row>
    <x:row r="70">
      <x:c r="A70" s="32"/>
      <x:c r="B70"/>
      <x:c r="C70"/>
      <x:c r="D70"/>
      <x:c r="E70" s="20"/>
      <x:c r="F70"/>
      <x:c r="G70"/>
      <x:c r="H70" s="34"/>
      <x:c r="I70" s="34" t="str">
        <x:f>IF(H70="","",IF(G70="역방향",8-H70,H70))</x:f>
      </x:c>
      <x:c r="J70" s="32"/>
      <x:c r="K70" s="32"/>
      <x:c r="L70" s="32"/>
      <x:c r="M70" s="32"/>
    </x:row>
    <x:row r="71">
      <x:c r="A71" s="32"/>
      <x:c r="B71"/>
      <x:c r="C71"/>
      <x:c r="D71"/>
      <x:c r="E71" s="20"/>
      <x:c r="F71"/>
      <x:c r="G71"/>
      <x:c r="H71" s="34"/>
      <x:c r="I71" s="34" t="str">
        <x:f>IF(H71="","",IF(G71="역방향",8-H71,H71))</x:f>
      </x:c>
      <x:c r="J71" s="32"/>
      <x:c r="K71" s="32"/>
      <x:c r="L71" s="32"/>
      <x:c r="M71" s="32"/>
    </x:row>
    <x:row r="72">
      <x:c r="A72" s="32"/>
      <x:c r="B72"/>
      <x:c r="C72"/>
      <x:c r="D72"/>
      <x:c r="E72" s="20"/>
      <x:c r="F72"/>
      <x:c r="G72"/>
      <x:c r="H72" s="34"/>
      <x:c r="I72" s="34" t="str">
        <x:f>IF(H72="","",IF(G72="역방향",8-H72,H72))</x:f>
      </x:c>
      <x:c r="J72" s="32"/>
      <x:c r="K72" s="32"/>
      <x:c r="L72" s="32"/>
      <x:c r="M72" s="32"/>
    </x:row>
    <x:row r="73">
      <x:c r="A73" s="32"/>
      <x:c r="B73"/>
      <x:c r="C73"/>
      <x:c r="D73"/>
      <x:c r="E73" s="20"/>
      <x:c r="F73"/>
      <x:c r="G73"/>
      <x:c r="H73" s="34"/>
      <x:c r="I73" s="34" t="str">
        <x:f>IF(H73="","",IF(G73="역방향",8-H73,H73))</x:f>
      </x:c>
      <x:c r="J73" s="32"/>
      <x:c r="K73" s="32"/>
      <x:c r="L73" s="32"/>
      <x:c r="M73" s="32"/>
    </x:row>
    <x:row r="74">
      <x:c r="A74" s="32"/>
      <x:c r="B74"/>
      <x:c r="C74"/>
      <x:c r="D74"/>
      <x:c r="E74" s="20"/>
      <x:c r="F74"/>
      <x:c r="G74"/>
      <x:c r="H74" s="34"/>
      <x:c r="I74" s="34" t="str">
        <x:f>IF(H74="","",IF(G74="역방향",8-H74,H74))</x:f>
      </x:c>
      <x:c r="J74" s="32"/>
      <x:c r="K74" s="32"/>
      <x:c r="L74" s="32"/>
      <x:c r="M74" s="32"/>
    </x:row>
    <x:row r="75">
      <x:c r="A75" s="32"/>
      <x:c r="B75"/>
      <x:c r="C75"/>
      <x:c r="D75"/>
      <x:c r="E75" s="20"/>
      <x:c r="F75"/>
      <x:c r="G75"/>
      <x:c r="H75" s="34"/>
      <x:c r="I75" s="34" t="str">
        <x:f>IF(H75="","",IF(G75="역방향",8-H75,H75))</x:f>
      </x:c>
      <x:c r="J75" s="32"/>
      <x:c r="K75" s="32"/>
      <x:c r="L75" s="32"/>
      <x:c r="M75" s="32"/>
    </x:row>
    <x:row r="76">
      <x:c r="A76" s="32"/>
      <x:c r="B76"/>
      <x:c r="C76"/>
      <x:c r="D76"/>
      <x:c r="E76" s="20"/>
      <x:c r="F76"/>
      <x:c r="G76"/>
      <x:c r="H76" s="34"/>
      <x:c r="I76" s="34" t="str">
        <x:f>IF(H76="","",IF(G76="역방향",8-H76,H76))</x:f>
      </x:c>
      <x:c r="J76" s="32"/>
      <x:c r="K76" s="32"/>
      <x:c r="L76" s="32"/>
      <x:c r="M76" s="32"/>
    </x:row>
    <x:row r="77">
      <x:c r="A77" s="32"/>
      <x:c r="B77"/>
      <x:c r="C77"/>
      <x:c r="D77"/>
      <x:c r="E77" s="20"/>
      <x:c r="F77"/>
      <x:c r="G77"/>
      <x:c r="H77" s="34"/>
      <x:c r="I77" s="34" t="str">
        <x:f>IF(H77="","",IF(G77="역방향",8-H77,H77))</x:f>
      </x:c>
      <x:c r="J77" s="32"/>
      <x:c r="K77" s="32"/>
      <x:c r="L77" s="32"/>
      <x:c r="M77" s="32"/>
    </x:row>
    <x:row r="78">
      <x:c r="A78" s="32"/>
      <x:c r="B78"/>
      <x:c r="C78"/>
      <x:c r="D78"/>
      <x:c r="E78" s="20"/>
      <x:c r="F78"/>
      <x:c r="G78"/>
      <x:c r="H78" s="34"/>
      <x:c r="I78" s="34" t="str">
        <x:f>IF(H78="","",IF(G78="역방향",8-H78,H78))</x:f>
      </x:c>
      <x:c r="J78" s="32"/>
      <x:c r="K78" s="32"/>
      <x:c r="L78" s="32"/>
      <x:c r="M78" s="32"/>
    </x:row>
    <x:row r="79">
      <x:c r="A79" s="32"/>
      <x:c r="B79"/>
      <x:c r="C79"/>
      <x:c r="D79"/>
      <x:c r="E79" s="20"/>
      <x:c r="F79"/>
      <x:c r="G79"/>
      <x:c r="H79" s="34"/>
      <x:c r="I79" s="34" t="str">
        <x:f>IF(H79="","",IF(G79="역방향",8-H79,H79))</x:f>
      </x:c>
      <x:c r="J79" s="32"/>
      <x:c r="K79" s="32"/>
      <x:c r="L79" s="32"/>
      <x:c r="M79" s="32"/>
    </x:row>
    <x:row r="80">
      <x:c r="A80" s="32"/>
      <x:c r="B80"/>
      <x:c r="C80"/>
      <x:c r="D80"/>
      <x:c r="E80" s="20"/>
      <x:c r="F80"/>
      <x:c r="G80"/>
      <x:c r="H80" s="34"/>
      <x:c r="I80" s="34" t="str">
        <x:f>IF(H80="","",IF(G80="역방향",8-H80,H80))</x:f>
      </x:c>
      <x:c r="J80" s="32"/>
      <x:c r="K80" s="32"/>
      <x:c r="L80" s="32"/>
      <x:c r="M80" s="32"/>
    </x:row>
    <x:row r="81">
      <x:c r="A81" s="32"/>
      <x:c r="B81"/>
      <x:c r="C81"/>
      <x:c r="D81"/>
      <x:c r="E81" s="20"/>
      <x:c r="F81"/>
      <x:c r="G81"/>
      <x:c r="H81" s="34"/>
      <x:c r="I81" s="34" t="str">
        <x:f>IF(H81="","",IF(G81="역방향",8-H81,H81))</x:f>
      </x:c>
      <x:c r="J81" s="32"/>
      <x:c r="K81" s="32"/>
      <x:c r="L81" s="32"/>
      <x:c r="M81" s="32"/>
    </x:row>
    <x:row r="82">
      <x:c r="A82" s="32"/>
      <x:c r="B82"/>
      <x:c r="C82"/>
      <x:c r="D82"/>
      <x:c r="E82" s="20"/>
      <x:c r="F82"/>
      <x:c r="G82"/>
      <x:c r="H82" s="34"/>
      <x:c r="I82" s="34" t="str">
        <x:f>IF(H82="","",IF(G82="역방향",8-H82,H82))</x:f>
      </x:c>
      <x:c r="J82" s="32"/>
      <x:c r="K82" s="32"/>
      <x:c r="L82" s="32"/>
      <x:c r="M82" s="32"/>
    </x:row>
    <x:row r="83">
      <x:c r="A83" s="32"/>
      <x:c r="B83"/>
      <x:c r="C83"/>
      <x:c r="D83"/>
      <x:c r="E83" s="20"/>
      <x:c r="F83"/>
      <x:c r="G83"/>
      <x:c r="H83" s="34"/>
      <x:c r="I83" s="34" t="str">
        <x:f>IF(H83="","",IF(G83="역방향",8-H83,H83))</x:f>
      </x:c>
      <x:c r="J83" s="32"/>
      <x:c r="K83" s="32"/>
      <x:c r="L83" s="32"/>
      <x:c r="M83" s="32"/>
    </x:row>
    <x:row r="84">
      <x:c r="A84" s="32"/>
      <x:c r="B84"/>
      <x:c r="C84"/>
      <x:c r="D84"/>
      <x:c r="E84" s="20"/>
      <x:c r="F84"/>
      <x:c r="G84"/>
      <x:c r="H84" s="34"/>
      <x:c r="I84" s="34" t="str">
        <x:f>IF(H84="","",IF(G84="역방향",8-H84,H84))</x:f>
      </x:c>
      <x:c r="J84" s="32"/>
      <x:c r="K84" s="32"/>
      <x:c r="L84" s="32"/>
      <x:c r="M84" s="32"/>
    </x:row>
    <x:row r="85">
      <x:c r="A85" s="32"/>
      <x:c r="B85"/>
      <x:c r="C85"/>
      <x:c r="D85"/>
      <x:c r="E85" s="20"/>
      <x:c r="F85"/>
      <x:c r="G85"/>
      <x:c r="H85" s="34"/>
      <x:c r="I85" s="34" t="str">
        <x:f>IF(H85="","",IF(G85="역방향",8-H85,H85))</x:f>
      </x:c>
      <x:c r="J85" s="32"/>
      <x:c r="K85" s="32"/>
      <x:c r="L85" s="32"/>
      <x:c r="M85" s="32"/>
    </x:row>
    <x:row r="86">
      <x:c r="A86" s="32"/>
      <x:c r="B86"/>
      <x:c r="C86"/>
      <x:c r="D86"/>
      <x:c r="E86" s="20"/>
      <x:c r="F86"/>
      <x:c r="G86"/>
      <x:c r="H86" s="34"/>
      <x:c r="I86" s="34" t="str">
        <x:f>IF(H86="","",IF(G86="역방향",8-H86,H86))</x:f>
      </x:c>
      <x:c r="J86" s="32"/>
      <x:c r="K86" s="32"/>
      <x:c r="L86" s="32"/>
      <x:c r="M86" s="32"/>
    </x:row>
    <x:row r="87">
      <x:c r="A87" s="32"/>
      <x:c r="B87"/>
      <x:c r="C87"/>
      <x:c r="D87"/>
      <x:c r="E87" s="20"/>
      <x:c r="F87"/>
      <x:c r="G87"/>
      <x:c r="H87" s="34"/>
      <x:c r="I87" s="34" t="str">
        <x:f>IF(H87="","",IF(G87="역방향",8-H87,H87))</x:f>
      </x:c>
      <x:c r="J87" s="32"/>
      <x:c r="K87" s="32"/>
      <x:c r="L87" s="32"/>
      <x:c r="M87" s="32"/>
    </x:row>
    <x:row r="88">
      <x:c r="A88" s="32"/>
      <x:c r="B88"/>
      <x:c r="C88"/>
      <x:c r="D88"/>
      <x:c r="E88" s="20"/>
      <x:c r="F88"/>
      <x:c r="G88"/>
      <x:c r="H88" s="34"/>
      <x:c r="I88" s="34" t="str">
        <x:f>IF(H88="","",IF(G88="역방향",8-H88,H88))</x:f>
      </x:c>
      <x:c r="J88" s="32"/>
      <x:c r="K88" s="32"/>
      <x:c r="L88" s="32"/>
      <x:c r="M88" s="32"/>
    </x:row>
    <x:row r="89">
      <x:c r="A89" s="32"/>
      <x:c r="B89"/>
      <x:c r="C89"/>
      <x:c r="D89"/>
      <x:c r="E89" s="20"/>
      <x:c r="F89"/>
      <x:c r="G89"/>
      <x:c r="H89" s="34"/>
      <x:c r="I89" s="34" t="str">
        <x:f>IF(H89="","",IF(G89="역방향",8-H89,H89))</x:f>
      </x:c>
      <x:c r="J89" s="32"/>
      <x:c r="K89" s="32"/>
      <x:c r="L89" s="32"/>
      <x:c r="M89" s="32"/>
    </x:row>
    <x:row r="90">
      <x:c r="A90" s="32"/>
      <x:c r="B90"/>
      <x:c r="C90"/>
      <x:c r="D90"/>
      <x:c r="E90" s="20"/>
      <x:c r="F90"/>
      <x:c r="G90"/>
      <x:c r="H90" s="34"/>
      <x:c r="I90" s="34" t="str">
        <x:f>IF(H90="","",IF(G90="역방향",8-H90,H90))</x:f>
      </x:c>
      <x:c r="J90" s="32"/>
      <x:c r="K90" s="32"/>
      <x:c r="L90" s="32"/>
      <x:c r="M90" s="32"/>
    </x:row>
    <x:row r="91">
      <x:c r="A91" s="32"/>
      <x:c r="B91"/>
      <x:c r="C91"/>
      <x:c r="D91"/>
      <x:c r="E91" s="20"/>
      <x:c r="F91"/>
      <x:c r="G91"/>
      <x:c r="H91" s="34"/>
      <x:c r="I91" s="34" t="str">
        <x:f>IF(H91="","",IF(G91="역방향",8-H91,H91))</x:f>
      </x:c>
      <x:c r="J91" s="32"/>
      <x:c r="K91" s="32"/>
      <x:c r="L91" s="32"/>
      <x:c r="M91" s="32"/>
    </x:row>
    <x:row r="92">
      <x:c r="A92" s="32"/>
      <x:c r="B92"/>
      <x:c r="C92"/>
      <x:c r="D92"/>
      <x:c r="E92" s="20"/>
      <x:c r="F92"/>
      <x:c r="G92"/>
      <x:c r="H92" s="34"/>
      <x:c r="I92" s="34" t="str">
        <x:f>IF(H92="","",IF(G92="역방향",8-H92,H92))</x:f>
      </x:c>
      <x:c r="J92" s="32"/>
      <x:c r="K92" s="32"/>
      <x:c r="L92" s="32"/>
      <x:c r="M92" s="32"/>
    </x:row>
    <x:row r="93">
      <x:c r="A93" s="32"/>
      <x:c r="B93"/>
      <x:c r="C93"/>
      <x:c r="D93"/>
      <x:c r="E93" s="20"/>
      <x:c r="F93"/>
      <x:c r="G93"/>
      <x:c r="H93" s="34"/>
      <x:c r="I93" s="34" t="str">
        <x:f>IF(H93="","",IF(G93="역방향",8-H93,H93))</x:f>
      </x:c>
      <x:c r="J93" s="32"/>
      <x:c r="K93" s="32"/>
      <x:c r="L93" s="32"/>
      <x:c r="M93" s="32"/>
    </x:row>
    <x:row r="94">
      <x:c r="A94" s="32"/>
      <x:c r="B94"/>
      <x:c r="C94"/>
      <x:c r="D94"/>
      <x:c r="E94" s="20"/>
      <x:c r="F94"/>
      <x:c r="G94"/>
      <x:c r="H94" s="34"/>
      <x:c r="I94" s="34" t="str">
        <x:f>IF(H94="","",IF(G94="역방향",8-H94,H94))</x:f>
      </x:c>
      <x:c r="J94" s="32"/>
      <x:c r="K94" s="32"/>
      <x:c r="L94" s="32"/>
      <x:c r="M94" s="32"/>
    </x:row>
    <x:row r="95">
      <x:c r="A95" s="32"/>
      <x:c r="B95"/>
      <x:c r="C95"/>
      <x:c r="D95"/>
      <x:c r="E95" s="20"/>
      <x:c r="F95"/>
      <x:c r="G95"/>
      <x:c r="H95" s="34"/>
      <x:c r="I95" s="34" t="str">
        <x:f>IF(H95="","",IF(G95="역방향",8-H95,H95))</x:f>
      </x:c>
      <x:c r="J95" s="32"/>
      <x:c r="K95" s="32"/>
      <x:c r="L95" s="32"/>
      <x:c r="M95" s="32"/>
    </x:row>
    <x:row r="96">
      <x:c r="A96" s="32"/>
      <x:c r="B96"/>
      <x:c r="C96"/>
      <x:c r="D96"/>
      <x:c r="E96" s="20"/>
      <x:c r="F96"/>
      <x:c r="G96"/>
      <x:c r="H96" s="34"/>
      <x:c r="I96" s="34" t="str">
        <x:f>IF(H96="","",IF(G96="역방향",8-H96,H96))</x:f>
      </x:c>
      <x:c r="J96" s="32"/>
      <x:c r="K96" s="32"/>
      <x:c r="L96" s="32"/>
      <x:c r="M96" s="32"/>
    </x:row>
    <x:row r="97">
      <x:c r="A97" s="32"/>
      <x:c r="B97"/>
      <x:c r="C97"/>
      <x:c r="D97"/>
      <x:c r="E97" s="20"/>
      <x:c r="F97"/>
      <x:c r="G97"/>
      <x:c r="H97" s="34"/>
      <x:c r="I97" s="34" t="str">
        <x:f>IF(H97="","",IF(G97="역방향",8-H97,H97))</x:f>
      </x:c>
      <x:c r="J97" s="32"/>
      <x:c r="K97" s="32"/>
      <x:c r="L97" s="32"/>
      <x:c r="M97" s="32"/>
    </x:row>
    <x:row r="98">
      <x:c r="A98" s="32"/>
      <x:c r="B98"/>
      <x:c r="C98"/>
      <x:c r="D98"/>
      <x:c r="E98" s="20"/>
      <x:c r="F98"/>
      <x:c r="G98"/>
      <x:c r="H98" s="34"/>
      <x:c r="I98" s="34" t="str">
        <x:f>IF(H98="","",IF(G98="역방향",8-H98,H98))</x:f>
      </x:c>
      <x:c r="J98" s="32"/>
      <x:c r="K98" s="32"/>
      <x:c r="L98" s="32"/>
      <x:c r="M98" s="32"/>
    </x:row>
    <x:row r="99">
      <x:c r="A99" s="32"/>
      <x:c r="B99"/>
      <x:c r="C99"/>
      <x:c r="D99"/>
      <x:c r="E99" s="20"/>
      <x:c r="F99"/>
      <x:c r="G99"/>
      <x:c r="H99" s="34"/>
      <x:c r="I99" s="34" t="str">
        <x:f>IF(H99="","",IF(G99="역방향",8-H99,H99))</x:f>
      </x:c>
      <x:c r="J99" s="32"/>
      <x:c r="K99" s="32"/>
      <x:c r="L99" s="32"/>
      <x:c r="M99" s="32"/>
    </x:row>
    <x:row r="100">
      <x:c r="A100" s="32"/>
      <x:c r="B100"/>
      <x:c r="C100"/>
      <x:c r="D100"/>
      <x:c r="E100" s="20"/>
      <x:c r="F100"/>
      <x:c r="G100"/>
      <x:c r="H100" s="34"/>
      <x:c r="I100" s="34" t="str">
        <x:f>IF(H100="","",IF(G100="역방향",8-H100,H100))</x:f>
      </x:c>
      <x:c r="J100" s="32"/>
      <x:c r="K100" s="32"/>
      <x:c r="L100" s="32"/>
      <x:c r="M100" s="32"/>
    </x:row>
    <x:row r="101">
      <x:c r="A101" s="32"/>
      <x:c r="B101"/>
      <x:c r="C101"/>
      <x:c r="D101"/>
      <x:c r="E101" s="20"/>
      <x:c r="F101"/>
      <x:c r="G101"/>
      <x:c r="H101" s="34"/>
      <x:c r="I101" s="34" t="str">
        <x:f>IF(H101="","",IF(G101="역방향",8-H101,H101))</x:f>
      </x:c>
      <x:c r="J101" s="32"/>
      <x:c r="K101" s="32"/>
      <x:c r="L101" s="32"/>
      <x:c r="M101" s="32"/>
    </x:row>
    <x:row r="102">
      <x:c r="A102" s="32"/>
      <x:c r="B102"/>
      <x:c r="C102"/>
      <x:c r="D102"/>
      <x:c r="E102" s="20"/>
      <x:c r="F102"/>
      <x:c r="G102"/>
      <x:c r="H102" s="34"/>
      <x:c r="I102" s="34" t="str">
        <x:f>IF(H102="","",IF(G102="역방향",8-H102,H102))</x:f>
      </x:c>
      <x:c r="J102" s="32"/>
      <x:c r="K102" s="32"/>
      <x:c r="L102" s="32"/>
      <x:c r="M102" s="32"/>
    </x:row>
    <x:row r="103">
      <x:c r="A103" s="32"/>
      <x:c r="B103"/>
      <x:c r="C103"/>
      <x:c r="D103"/>
      <x:c r="E103" s="20"/>
      <x:c r="F103"/>
      <x:c r="G103"/>
      <x:c r="H103" s="34"/>
      <x:c r="I103" s="34" t="str">
        <x:f>IF(H103="","",IF(G103="역방향",8-H103,H103))</x:f>
      </x:c>
      <x:c r="J103" s="32"/>
      <x:c r="K103" s="32"/>
      <x:c r="L103" s="32"/>
      <x:c r="M103" s="32"/>
    </x:row>
    <x:row r="104">
      <x:c r="A104" s="32"/>
      <x:c r="B104"/>
      <x:c r="C104"/>
      <x:c r="D104"/>
      <x:c r="E104" s="20"/>
      <x:c r="F104"/>
      <x:c r="G104"/>
      <x:c r="H104" s="34"/>
      <x:c r="I104" s="34" t="str">
        <x:f>IF(H104="","",IF(G104="역방향",8-H104,H104))</x:f>
      </x:c>
      <x:c r="J104" s="32"/>
      <x:c r="K104" s="32"/>
      <x:c r="L104" s="32"/>
      <x:c r="M104" s="32"/>
    </x:row>
    <x:row r="105">
      <x:c r="A105" s="32"/>
      <x:c r="B105"/>
      <x:c r="C105"/>
      <x:c r="D105"/>
      <x:c r="E105" s="20"/>
      <x:c r="F105"/>
      <x:c r="G105"/>
      <x:c r="H105" s="34"/>
      <x:c r="I105" s="34" t="str">
        <x:f>IF(H105="","",IF(G105="역방향",8-H105,H105))</x:f>
      </x:c>
      <x:c r="J105" s="32"/>
      <x:c r="K105" s="32"/>
      <x:c r="L105" s="32"/>
      <x:c r="M105" s="32"/>
    </x:row>
    <x:row r="106">
      <x:c r="A106" s="32"/>
      <x:c r="B106"/>
      <x:c r="C106"/>
      <x:c r="D106"/>
      <x:c r="E106" s="20"/>
      <x:c r="F106"/>
      <x:c r="G106"/>
      <x:c r="H106" s="34"/>
      <x:c r="I106" s="34" t="str">
        <x:f>IF(H106="","",IF(G106="역방향",8-H106,H106))</x:f>
      </x:c>
      <x:c r="J106" s="32"/>
      <x:c r="K106" s="32"/>
      <x:c r="L106" s="32"/>
      <x:c r="M106" s="32"/>
    </x:row>
    <x:row r="107">
      <x:c r="A107" s="32"/>
      <x:c r="B107"/>
      <x:c r="C107"/>
      <x:c r="D107"/>
      <x:c r="E107" s="20"/>
      <x:c r="F107"/>
      <x:c r="G107"/>
      <x:c r="H107" s="34"/>
      <x:c r="I107" s="34" t="str">
        <x:f>IF(H107="","",IF(G107="역방향",8-H107,H107))</x:f>
      </x:c>
      <x:c r="J107" s="32"/>
      <x:c r="K107" s="32"/>
      <x:c r="L107" s="32"/>
      <x:c r="M107" s="32"/>
    </x:row>
    <x:row r="108">
      <x:c r="A108" s="32"/>
      <x:c r="B108"/>
      <x:c r="C108"/>
      <x:c r="D108"/>
      <x:c r="E108" s="20"/>
      <x:c r="F108"/>
      <x:c r="G108"/>
      <x:c r="H108" s="34"/>
      <x:c r="I108" s="34" t="str">
        <x:f>IF(H108="","",IF(G108="역방향",8-H108,H108))</x:f>
      </x:c>
      <x:c r="J108" s="32"/>
      <x:c r="K108" s="32"/>
      <x:c r="L108" s="32"/>
      <x:c r="M108" s="32"/>
    </x:row>
    <x:row r="109">
      <x:c r="A109" s="32"/>
      <x:c r="B109"/>
      <x:c r="C109"/>
      <x:c r="D109"/>
      <x:c r="E109" s="20"/>
      <x:c r="F109"/>
      <x:c r="G109"/>
      <x:c r="H109" s="34"/>
      <x:c r="I109" s="34" t="str">
        <x:f>IF(H109="","",IF(G109="역방향",8-H109,H109))</x:f>
      </x:c>
      <x:c r="J109" s="32"/>
      <x:c r="K109" s="32"/>
      <x:c r="L109" s="32"/>
      <x:c r="M109" s="32"/>
    </x:row>
    <x:row r="110">
      <x:c r="A110" s="32"/>
      <x:c r="B110"/>
      <x:c r="C110"/>
      <x:c r="D110"/>
      <x:c r="E110" s="20"/>
      <x:c r="F110"/>
      <x:c r="G110"/>
      <x:c r="H110" s="34"/>
      <x:c r="I110" s="34" t="str">
        <x:f>IF(H110="","",IF(G110="역방향",8-H110,H110))</x:f>
      </x:c>
      <x:c r="J110" s="32"/>
      <x:c r="K110" s="32"/>
      <x:c r="L110" s="32"/>
      <x:c r="M110" s="32"/>
    </x:row>
    <x:row r="111">
      <x:c r="A111" s="32"/>
      <x:c r="B111"/>
      <x:c r="C111"/>
      <x:c r="D111"/>
      <x:c r="E111" s="20"/>
      <x:c r="F111"/>
      <x:c r="G111"/>
      <x:c r="H111" s="34"/>
      <x:c r="I111" s="34" t="str">
        <x:f>IF(H111="","",IF(G111="역방향",8-H111,H111))</x:f>
      </x:c>
      <x:c r="J111" s="32"/>
      <x:c r="K111" s="32"/>
      <x:c r="L111" s="32"/>
      <x:c r="M111" s="32"/>
    </x:row>
    <x:row r="112">
      <x:c r="A112" s="32"/>
      <x:c r="B112"/>
      <x:c r="C112"/>
      <x:c r="D112"/>
      <x:c r="E112" s="20"/>
      <x:c r="F112"/>
      <x:c r="G112"/>
      <x:c r="H112" s="34"/>
      <x:c r="I112" s="34" t="str">
        <x:f>IF(H112="","",IF(G112="역방향",8-H112,H112))</x:f>
      </x:c>
      <x:c r="J112" s="32"/>
      <x:c r="K112" s="32"/>
      <x:c r="L112" s="32"/>
      <x:c r="M112" s="32"/>
    </x:row>
    <x:row r="113">
      <x:c r="A113" s="32"/>
      <x:c r="B113"/>
      <x:c r="C113"/>
      <x:c r="D113"/>
      <x:c r="E113" s="20"/>
      <x:c r="F113"/>
      <x:c r="G113"/>
      <x:c r="H113" s="34"/>
      <x:c r="I113" s="34" t="str">
        <x:f>IF(H113="","",IF(G113="역방향",8-H113,H113))</x:f>
      </x:c>
      <x:c r="J113" s="32"/>
      <x:c r="K113" s="32"/>
      <x:c r="L113" s="32"/>
      <x:c r="M113" s="32"/>
    </x:row>
    <x:row r="114">
      <x:c r="A114" s="32"/>
      <x:c r="B114"/>
      <x:c r="C114"/>
      <x:c r="D114"/>
      <x:c r="E114" s="20"/>
      <x:c r="F114"/>
      <x:c r="G114"/>
      <x:c r="H114" s="34"/>
      <x:c r="I114" s="34" t="str">
        <x:f>IF(H114="","",IF(G114="역방향",8-H114,H114))</x:f>
      </x:c>
      <x:c r="J114" s="32"/>
      <x:c r="K114" s="32"/>
      <x:c r="L114" s="32"/>
      <x:c r="M114" s="32"/>
    </x:row>
    <x:row r="115">
      <x:c r="A115" s="32"/>
      <x:c r="B115"/>
      <x:c r="C115"/>
      <x:c r="D115"/>
      <x:c r="E115" s="20"/>
      <x:c r="F115"/>
      <x:c r="G115"/>
      <x:c r="H115" s="34"/>
      <x:c r="I115" s="34" t="str">
        <x:f>IF(H115="","",IF(G115="역방향",8-H115,H115))</x:f>
      </x:c>
      <x:c r="J115" s="32"/>
      <x:c r="K115" s="32"/>
      <x:c r="L115" s="32"/>
      <x:c r="M115" s="32"/>
    </x:row>
    <x:row r="116">
      <x:c r="A116" s="32"/>
      <x:c r="B116"/>
      <x:c r="C116"/>
      <x:c r="D116"/>
      <x:c r="E116" s="20"/>
      <x:c r="F116"/>
      <x:c r="G116"/>
      <x:c r="H116" s="34"/>
      <x:c r="I116" s="34" t="str">
        <x:f>IF(H116="","",IF(G116="역방향",8-H116,H116))</x:f>
      </x:c>
      <x:c r="J116" s="32"/>
      <x:c r="K116" s="32"/>
      <x:c r="L116" s="32"/>
      <x:c r="M116" s="32"/>
    </x:row>
    <x:row r="117">
      <x:c r="A117" s="32"/>
      <x:c r="B117"/>
      <x:c r="C117"/>
      <x:c r="D117"/>
      <x:c r="E117" s="20"/>
      <x:c r="F117"/>
      <x:c r="G117"/>
      <x:c r="H117" s="34"/>
      <x:c r="I117" s="34" t="str">
        <x:f>IF(H117="","",IF(G117="역방향",8-H117,H117))</x:f>
      </x:c>
      <x:c r="J117" s="32"/>
      <x:c r="K117" s="32"/>
      <x:c r="L117" s="32"/>
      <x:c r="M117" s="32"/>
    </x:row>
    <x:row r="118">
      <x:c r="A118" s="32"/>
      <x:c r="B118"/>
      <x:c r="C118"/>
      <x:c r="D118"/>
      <x:c r="E118" s="20"/>
      <x:c r="F118"/>
      <x:c r="G118"/>
      <x:c r="H118" s="34"/>
      <x:c r="I118" s="34" t="str">
        <x:f>IF(H118="","",IF(G118="역방향",8-H118,H118))</x:f>
      </x:c>
      <x:c r="J118" s="32"/>
      <x:c r="K118" s="32"/>
      <x:c r="L118" s="32"/>
      <x:c r="M118" s="32"/>
    </x:row>
    <x:row r="119">
      <x:c r="A119" s="32"/>
      <x:c r="B119"/>
      <x:c r="C119"/>
      <x:c r="D119"/>
      <x:c r="E119" s="20"/>
      <x:c r="F119"/>
      <x:c r="G119"/>
      <x:c r="H119" s="34"/>
      <x:c r="I119" s="34" t="str">
        <x:f>IF(H119="","",IF(G119="역방향",8-H119,H119))</x:f>
      </x:c>
      <x:c r="J119" s="32"/>
      <x:c r="K119" s="32"/>
      <x:c r="L119" s="32"/>
      <x:c r="M119" s="32"/>
    </x:row>
    <x:row r="120">
      <x:c r="A120" s="32"/>
      <x:c r="B120"/>
      <x:c r="C120"/>
      <x:c r="D120"/>
      <x:c r="E120" s="20"/>
      <x:c r="F120"/>
      <x:c r="G120"/>
      <x:c r="H120" s="34"/>
      <x:c r="I120" s="34" t="str">
        <x:f>IF(H120="","",IF(G120="역방향",8-H120,H120))</x:f>
      </x:c>
      <x:c r="J120" s="32"/>
      <x:c r="K120" s="32"/>
      <x:c r="L120" s="32"/>
      <x:c r="M120" s="32"/>
    </x:row>
    <x:row r="121">
      <x:c r="A121" s="32"/>
      <x:c r="B121"/>
      <x:c r="C121"/>
      <x:c r="D121"/>
      <x:c r="E121" s="20"/>
      <x:c r="F121"/>
      <x:c r="G121"/>
      <x:c r="H121" s="34"/>
      <x:c r="I121" s="34" t="str">
        <x:f>IF(H121="","",IF(G121="역방향",8-H121,H121))</x:f>
      </x:c>
      <x:c r="J121" s="32"/>
      <x:c r="K121" s="32"/>
      <x:c r="L121" s="32"/>
      <x:c r="M121" s="32"/>
    </x:row>
    <x:row r="122">
      <x:c r="A122" s="32"/>
      <x:c r="B122"/>
      <x:c r="C122"/>
      <x:c r="D122"/>
      <x:c r="E122" s="20"/>
      <x:c r="F122"/>
      <x:c r="G122"/>
      <x:c r="H122" s="34"/>
      <x:c r="I122" s="34" t="str">
        <x:f>IF(H122="","",IF(G122="역방향",8-H122,H122))</x:f>
      </x:c>
      <x:c r="J122" s="32"/>
      <x:c r="K122" s="32"/>
      <x:c r="L122" s="32"/>
      <x:c r="M122" s="32"/>
    </x:row>
    <x:row r="123">
      <x:c r="A123" s="32"/>
      <x:c r="B123"/>
      <x:c r="C123"/>
      <x:c r="D123"/>
      <x:c r="E123" s="20"/>
      <x:c r="F123"/>
      <x:c r="G123"/>
      <x:c r="H123" s="34"/>
      <x:c r="I123" s="34" t="str">
        <x:f>IF(H123="","",IF(G123="역방향",8-H123,H123))</x:f>
      </x:c>
      <x:c r="J123" s="32"/>
      <x:c r="K123" s="32"/>
      <x:c r="L123" s="32"/>
      <x:c r="M123" s="32"/>
    </x:row>
    <x:row r="124">
      <x:c r="A124" s="32"/>
      <x:c r="B124"/>
      <x:c r="C124"/>
      <x:c r="D124"/>
      <x:c r="E124" s="20"/>
      <x:c r="F124"/>
      <x:c r="G124"/>
      <x:c r="H124" s="34"/>
      <x:c r="I124" s="34" t="str">
        <x:f>IF(H124="","",IF(G124="역방향",8-H124,H124))</x:f>
      </x:c>
      <x:c r="J124" s="32"/>
      <x:c r="K124" s="32"/>
      <x:c r="L124" s="32"/>
      <x:c r="M124" s="32"/>
    </x:row>
    <x:row r="125">
      <x:c r="A125" s="32"/>
      <x:c r="B125"/>
      <x:c r="C125"/>
      <x:c r="D125"/>
      <x:c r="E125" s="20"/>
      <x:c r="F125"/>
      <x:c r="G125"/>
      <x:c r="H125" s="34"/>
      <x:c r="I125" s="34" t="str">
        <x:f>IF(H125="","",IF(G125="역방향",8-H125,H125))</x:f>
      </x:c>
      <x:c r="J125" s="32"/>
      <x:c r="K125" s="32"/>
      <x:c r="L125" s="32"/>
      <x:c r="M125" s="32"/>
    </x:row>
    <x:row r="126">
      <x:c r="A126" s="32"/>
      <x:c r="B126"/>
      <x:c r="C126"/>
      <x:c r="D126"/>
      <x:c r="E126" s="20"/>
      <x:c r="F126"/>
      <x:c r="G126"/>
      <x:c r="H126" s="34"/>
      <x:c r="I126" s="34" t="str">
        <x:f>IF(H126="","",IF(G126="역방향",8-H126,H126))</x:f>
      </x:c>
      <x:c r="J126" s="32"/>
      <x:c r="K126" s="32"/>
      <x:c r="L126" s="32"/>
      <x:c r="M126" s="32"/>
    </x:row>
    <x:row r="127">
      <x:c r="A127" s="32"/>
      <x:c r="B127"/>
      <x:c r="C127"/>
      <x:c r="D127"/>
      <x:c r="E127" s="20"/>
      <x:c r="F127"/>
      <x:c r="G127"/>
      <x:c r="H127" s="34"/>
      <x:c r="I127" s="34" t="str">
        <x:f>IF(H127="","",IF(G127="역방향",8-H127,H127))</x:f>
      </x:c>
      <x:c r="J127" s="32"/>
      <x:c r="K127" s="32"/>
      <x:c r="L127" s="32"/>
      <x:c r="M127" s="32"/>
    </x:row>
    <x:row r="128">
      <x:c r="A128" s="32"/>
      <x:c r="B128"/>
      <x:c r="C128"/>
      <x:c r="D128"/>
      <x:c r="E128" s="20"/>
      <x:c r="F128"/>
      <x:c r="G128"/>
      <x:c r="H128" s="34"/>
      <x:c r="I128" s="34" t="str">
        <x:f>IF(H128="","",IF(G128="역방향",8-H128,H128))</x:f>
      </x:c>
      <x:c r="J128" s="32"/>
      <x:c r="K128" s="32"/>
      <x:c r="L128" s="32"/>
      <x:c r="M128" s="32"/>
    </x:row>
    <x:row r="129">
      <x:c r="A129" s="32"/>
      <x:c r="B129"/>
      <x:c r="C129"/>
      <x:c r="D129"/>
      <x:c r="E129" s="20"/>
      <x:c r="F129"/>
      <x:c r="G129"/>
      <x:c r="H129" s="34"/>
      <x:c r="I129" s="34" t="str">
        <x:f>IF(H129="","",IF(G129="역방향",8-H129,H129))</x:f>
      </x:c>
      <x:c r="J129" s="32"/>
      <x:c r="K129" s="32"/>
      <x:c r="L129" s="32"/>
      <x:c r="M129" s="32"/>
    </x:row>
    <x:row r="130">
      <x:c r="A130" s="32"/>
      <x:c r="B130"/>
      <x:c r="C130"/>
      <x:c r="D130"/>
      <x:c r="E130" s="20"/>
      <x:c r="F130"/>
      <x:c r="G130"/>
      <x:c r="H130" s="34"/>
      <x:c r="I130" s="34" t="str">
        <x:f>IF(H130="","",IF(G130="역방향",8-H130,H130))</x:f>
      </x:c>
      <x:c r="J130" s="32"/>
      <x:c r="K130" s="32"/>
      <x:c r="L130" s="32"/>
      <x:c r="M130" s="32"/>
    </x:row>
    <x:row r="131">
      <x:c r="A131" s="32"/>
      <x:c r="B131"/>
      <x:c r="C131"/>
      <x:c r="D131"/>
      <x:c r="E131" s="20"/>
      <x:c r="F131"/>
      <x:c r="G131"/>
      <x:c r="H131" s="34"/>
      <x:c r="I131" s="34" t="str">
        <x:f>IF(H131="","",IF(G131="역방향",8-H131,H131))</x:f>
      </x:c>
      <x:c r="J131" s="32"/>
      <x:c r="K131" s="32"/>
      <x:c r="L131" s="32"/>
      <x:c r="M131" s="32"/>
    </x:row>
    <x:row r="132">
      <x:c r="A132" s="32"/>
      <x:c r="B132"/>
      <x:c r="C132"/>
      <x:c r="D132"/>
      <x:c r="E132" s="20"/>
      <x:c r="F132"/>
      <x:c r="G132"/>
      <x:c r="H132" s="34"/>
      <x:c r="I132" s="34" t="str">
        <x:f>IF(H132="","",IF(G132="역방향",8-H132,H132))</x:f>
      </x:c>
      <x:c r="J132" s="32"/>
      <x:c r="K132" s="32"/>
      <x:c r="L132" s="32"/>
      <x:c r="M132" s="32"/>
    </x:row>
    <x:row r="133">
      <x:c r="A133" s="32"/>
      <x:c r="B133"/>
      <x:c r="C133"/>
      <x:c r="D133"/>
      <x:c r="E133" s="20"/>
      <x:c r="F133"/>
      <x:c r="G133"/>
      <x:c r="H133" s="34"/>
      <x:c r="I133" s="34" t="str">
        <x:f>IF(H133="","",IF(G133="역방향",8-H133,H133))</x:f>
      </x:c>
      <x:c r="J133" s="32"/>
      <x:c r="K133" s="32"/>
      <x:c r="L133" s="32"/>
      <x:c r="M133" s="32"/>
    </x:row>
    <x:row r="134">
      <x:c r="A134" s="32"/>
      <x:c r="B134"/>
      <x:c r="C134"/>
      <x:c r="D134"/>
      <x:c r="E134" s="20"/>
      <x:c r="F134"/>
      <x:c r="G134"/>
      <x:c r="H134" s="34"/>
      <x:c r="I134" s="34" t="str">
        <x:f>IF(H134="","",IF(G134="역방향",8-H134,H134))</x:f>
      </x:c>
      <x:c r="J134" s="32"/>
      <x:c r="K134" s="32"/>
      <x:c r="L134" s="32"/>
      <x:c r="M134" s="32"/>
    </x:row>
    <x:row r="135">
      <x:c r="A135" s="32"/>
      <x:c r="B135"/>
      <x:c r="C135"/>
      <x:c r="D135"/>
      <x:c r="E135" s="20"/>
      <x:c r="F135"/>
      <x:c r="G135"/>
      <x:c r="H135" s="34"/>
      <x:c r="I135" s="34" t="str">
        <x:f>IF(H135="","",IF(G135="역방향",8-H135,H135))</x:f>
      </x:c>
      <x:c r="J135" s="32"/>
      <x:c r="K135" s="32"/>
      <x:c r="L135" s="32"/>
      <x:c r="M135" s="32"/>
    </x:row>
    <x:row r="136">
      <x:c r="A136" s="32"/>
      <x:c r="B136"/>
      <x:c r="C136"/>
      <x:c r="D136"/>
      <x:c r="E136" s="20"/>
      <x:c r="F136"/>
      <x:c r="G136"/>
      <x:c r="H136" s="34"/>
      <x:c r="I136" s="34" t="str">
        <x:f>IF(H136="","",IF(G136="역방향",8-H136,H136))</x:f>
      </x:c>
      <x:c r="J136" s="32"/>
      <x:c r="K136" s="32"/>
      <x:c r="L136" s="32"/>
      <x:c r="M136" s="32"/>
    </x:row>
    <x:row r="137">
      <x:c r="A137" s="32"/>
      <x:c r="B137"/>
      <x:c r="C137"/>
      <x:c r="D137"/>
      <x:c r="E137" s="20"/>
      <x:c r="F137"/>
      <x:c r="G137"/>
      <x:c r="H137" s="34"/>
      <x:c r="I137" s="34" t="str">
        <x:f>IF(H137="","",IF(G137="역방향",8-H137,H137))</x:f>
      </x:c>
      <x:c r="J137" s="32"/>
      <x:c r="K137" s="32"/>
      <x:c r="L137" s="32"/>
      <x:c r="M137" s="32"/>
    </x:row>
    <x:row r="138">
      <x:c r="A138" s="32"/>
      <x:c r="B138"/>
      <x:c r="C138"/>
      <x:c r="D138"/>
      <x:c r="E138" s="20"/>
      <x:c r="F138"/>
      <x:c r="G138"/>
      <x:c r="H138" s="34"/>
      <x:c r="I138" s="34" t="str">
        <x:f>IF(H138="","",IF(G138="역방향",8-H138,H138))</x:f>
      </x:c>
      <x:c r="J138" s="32"/>
      <x:c r="K138" s="32"/>
      <x:c r="L138" s="32"/>
      <x:c r="M138" s="32"/>
    </x:row>
    <x:row r="139">
      <x:c r="A139" s="32"/>
      <x:c r="B139"/>
      <x:c r="C139"/>
      <x:c r="D139"/>
      <x:c r="E139" s="20"/>
      <x:c r="F139"/>
      <x:c r="G139"/>
      <x:c r="H139" s="34"/>
      <x:c r="I139" s="34" t="str">
        <x:f>IF(H139="","",IF(G139="역방향",8-H139,H139))</x:f>
      </x:c>
      <x:c r="J139" s="32"/>
      <x:c r="K139" s="32"/>
      <x:c r="L139" s="32"/>
      <x:c r="M139" s="32"/>
    </x:row>
    <x:row r="140">
      <x:c r="A140" s="32"/>
      <x:c r="B140"/>
      <x:c r="C140"/>
      <x:c r="D140"/>
      <x:c r="E140" s="20"/>
      <x:c r="F140"/>
      <x:c r="G140"/>
      <x:c r="H140" s="34"/>
      <x:c r="I140" s="34" t="str">
        <x:f>IF(H140="","",IF(G140="역방향",8-H140,H140))</x:f>
      </x:c>
      <x:c r="J140" s="32"/>
      <x:c r="K140" s="32"/>
      <x:c r="L140" s="32"/>
      <x:c r="M140" s="32"/>
    </x:row>
    <x:row r="141">
      <x:c r="A141" s="32"/>
      <x:c r="B141"/>
      <x:c r="C141"/>
      <x:c r="D141"/>
      <x:c r="E141" s="20"/>
      <x:c r="F141"/>
      <x:c r="G141"/>
      <x:c r="H141" s="34"/>
      <x:c r="I141" s="34" t="str">
        <x:f>IF(H141="","",IF(G141="역방향",8-H141,H141))</x:f>
      </x:c>
      <x:c r="J141" s="32"/>
      <x:c r="K141" s="32"/>
      <x:c r="L141" s="32"/>
      <x:c r="M141" s="32"/>
    </x:row>
    <x:row r="142">
      <x:c r="A142" s="32"/>
      <x:c r="B142"/>
      <x:c r="C142"/>
      <x:c r="D142"/>
      <x:c r="E142" s="20"/>
      <x:c r="F142"/>
      <x:c r="G142"/>
      <x:c r="H142" s="34"/>
      <x:c r="I142" s="34" t="str">
        <x:f>IF(H142="","",IF(G142="역방향",8-H142,H142))</x:f>
      </x:c>
      <x:c r="J142" s="32"/>
      <x:c r="K142" s="32"/>
      <x:c r="L142" s="32"/>
      <x:c r="M142" s="32"/>
    </x:row>
    <x:row r="143">
      <x:c r="A143" s="32"/>
      <x:c r="B143"/>
      <x:c r="C143"/>
      <x:c r="D143"/>
      <x:c r="E143" s="20"/>
      <x:c r="F143"/>
      <x:c r="G143"/>
      <x:c r="H143" s="34"/>
      <x:c r="I143" s="34" t="str">
        <x:f>IF(H143="","",IF(G143="역방향",8-H143,H143))</x:f>
      </x:c>
      <x:c r="J143" s="32"/>
      <x:c r="K143" s="32"/>
      <x:c r="L143" s="32"/>
      <x:c r="M143" s="32"/>
    </x:row>
    <x:row r="144">
      <x:c r="A144" s="32"/>
      <x:c r="B144"/>
      <x:c r="C144"/>
      <x:c r="D144"/>
      <x:c r="E144" s="20"/>
      <x:c r="F144"/>
      <x:c r="G144"/>
      <x:c r="H144" s="34"/>
      <x:c r="I144" s="34" t="str">
        <x:f>IF(H144="","",IF(G144="역방향",8-H144,H144))</x:f>
      </x:c>
      <x:c r="J144" s="32"/>
      <x:c r="K144" s="32"/>
      <x:c r="L144" s="32"/>
      <x:c r="M144" s="32"/>
    </x:row>
    <x:row r="145">
      <x:c r="A145" s="32"/>
      <x:c r="B145"/>
      <x:c r="C145"/>
      <x:c r="D145"/>
      <x:c r="E145" s="20"/>
      <x:c r="F145"/>
      <x:c r="G145"/>
      <x:c r="H145" s="34"/>
      <x:c r="I145" s="34" t="str">
        <x:f>IF(H145="","",IF(G145="역방향",8-H145,H145))</x:f>
      </x:c>
      <x:c r="J145" s="32"/>
      <x:c r="K145" s="32"/>
      <x:c r="L145" s="32"/>
      <x:c r="M145" s="32"/>
    </x:row>
    <x:row r="146">
      <x:c r="A146" s="32"/>
      <x:c r="B146"/>
      <x:c r="C146"/>
      <x:c r="D146"/>
      <x:c r="E146" s="20"/>
      <x:c r="F146"/>
      <x:c r="G146"/>
      <x:c r="H146" s="34"/>
      <x:c r="I146" s="34" t="str">
        <x:f>IF(H146="","",IF(G146="역방향",8-H146,H146))</x:f>
      </x:c>
      <x:c r="J146" s="32"/>
      <x:c r="K146" s="32"/>
      <x:c r="L146" s="32"/>
      <x:c r="M146" s="32"/>
    </x:row>
    <x:row r="147">
      <x:c r="A147" s="32"/>
      <x:c r="B147"/>
      <x:c r="C147"/>
      <x:c r="D147"/>
      <x:c r="E147" s="20"/>
      <x:c r="F147"/>
      <x:c r="G147"/>
      <x:c r="H147" s="34"/>
      <x:c r="I147" s="34" t="str">
        <x:f>IF(H147="","",IF(G147="역방향",8-H147,H147))</x:f>
      </x:c>
      <x:c r="J147" s="32"/>
      <x:c r="K147" s="32"/>
      <x:c r="L147" s="32"/>
      <x:c r="M147" s="32"/>
    </x:row>
    <x:row r="148">
      <x:c r="A148" s="32"/>
      <x:c r="B148"/>
      <x:c r="C148"/>
      <x:c r="D148"/>
      <x:c r="E148" s="20"/>
      <x:c r="F148"/>
      <x:c r="G148"/>
      <x:c r="H148" s="34"/>
      <x:c r="I148" s="34" t="str">
        <x:f>IF(H148="","",IF(G148="역방향",8-H148,H148))</x:f>
      </x:c>
      <x:c r="J148" s="32"/>
      <x:c r="K148" s="32"/>
      <x:c r="L148" s="32"/>
      <x:c r="M148" s="32"/>
    </x:row>
    <x:row r="149">
      <x:c r="A149" s="32"/>
      <x:c r="B149"/>
      <x:c r="C149"/>
      <x:c r="D149"/>
      <x:c r="E149" s="20"/>
      <x:c r="F149"/>
      <x:c r="G149"/>
      <x:c r="H149" s="34"/>
      <x:c r="I149" s="34" t="str">
        <x:f>IF(H149="","",IF(G149="역방향",8-H149,H149))</x:f>
      </x:c>
      <x:c r="J149" s="32"/>
      <x:c r="K149" s="32"/>
      <x:c r="L149" s="32"/>
      <x:c r="M149" s="32"/>
    </x:row>
    <x:row r="150">
      <x:c r="A150" s="32"/>
      <x:c r="B150"/>
      <x:c r="C150"/>
      <x:c r="D150"/>
      <x:c r="E150" s="20"/>
      <x:c r="F150"/>
      <x:c r="G150"/>
      <x:c r="H150" s="34"/>
      <x:c r="I150" s="34" t="str">
        <x:f>IF(H150="","",IF(G150="역방향",8-H150,H150))</x:f>
      </x:c>
      <x:c r="J150" s="32"/>
      <x:c r="K150" s="32"/>
      <x:c r="L150" s="32"/>
      <x:c r="M150" s="32"/>
    </x:row>
    <x:row r="151">
      <x:c r="A151" s="32"/>
      <x:c r="B151"/>
      <x:c r="C151"/>
      <x:c r="D151"/>
      <x:c r="E151" s="20"/>
      <x:c r="F151"/>
      <x:c r="G151"/>
      <x:c r="H151" s="34"/>
      <x:c r="I151" s="34" t="str">
        <x:f>IF(H151="","",IF(G151="역방향",8-H151,H151))</x:f>
      </x:c>
      <x:c r="J151" s="32"/>
      <x:c r="K151" s="32"/>
      <x:c r="L151" s="32"/>
      <x:c r="M151" s="32"/>
    </x:row>
    <x:row r="152">
      <x:c r="A152" s="32"/>
      <x:c r="B152"/>
      <x:c r="C152"/>
      <x:c r="D152"/>
      <x:c r="E152" s="20"/>
      <x:c r="F152"/>
      <x:c r="G152"/>
      <x:c r="H152" s="34"/>
      <x:c r="I152" s="34" t="str">
        <x:f>IF(H152="","",IF(G152="역방향",8-H152,H152))</x:f>
      </x:c>
      <x:c r="J152" s="32"/>
      <x:c r="K152" s="32"/>
      <x:c r="L152" s="32"/>
      <x:c r="M152" s="32"/>
    </x:row>
    <x:row r="153">
      <x:c r="A153" s="32"/>
      <x:c r="B153"/>
      <x:c r="C153"/>
      <x:c r="D153"/>
      <x:c r="E153" s="20"/>
      <x:c r="F153"/>
      <x:c r="G153"/>
      <x:c r="H153" s="34"/>
      <x:c r="I153" s="34" t="str">
        <x:f>IF(H153="","",IF(G153="역방향",8-H153,H153))</x:f>
      </x:c>
      <x:c r="J153" s="32"/>
      <x:c r="K153" s="32"/>
      <x:c r="L153" s="32"/>
      <x:c r="M153" s="32"/>
    </x:row>
    <x:row r="154">
      <x:c r="A154" s="32"/>
      <x:c r="B154"/>
      <x:c r="C154"/>
      <x:c r="D154"/>
      <x:c r="E154" s="20"/>
      <x:c r="F154"/>
      <x:c r="G154"/>
      <x:c r="H154" s="34"/>
      <x:c r="I154" s="34" t="str">
        <x:f>IF(H154="","",IF(G154="역방향",8-H154,H154))</x:f>
      </x:c>
      <x:c r="J154" s="32"/>
      <x:c r="K154" s="32"/>
      <x:c r="L154" s="32"/>
      <x:c r="M154" s="32"/>
    </x:row>
    <x:row r="155">
      <x:c r="A155" s="32"/>
      <x:c r="B155"/>
      <x:c r="C155"/>
      <x:c r="D155"/>
      <x:c r="E155" s="20"/>
      <x:c r="F155"/>
      <x:c r="G155"/>
      <x:c r="H155" s="34"/>
      <x:c r="I155" s="34" t="str">
        <x:f>IF(H155="","",IF(G155="역방향",8-H155,H155))</x:f>
      </x:c>
      <x:c r="J155" s="32"/>
      <x:c r="K155" s="32"/>
      <x:c r="L155" s="32"/>
      <x:c r="M155" s="32"/>
    </x:row>
    <x:row r="156">
      <x:c r="A156" s="32"/>
      <x:c r="B156"/>
      <x:c r="C156"/>
      <x:c r="D156"/>
      <x:c r="E156" s="20"/>
      <x:c r="F156"/>
      <x:c r="G156"/>
      <x:c r="H156" s="34"/>
      <x:c r="I156" s="34" t="str">
        <x:f>IF(H156="","",IF(G156="역방향",8-H156,H156))</x:f>
      </x:c>
      <x:c r="J156" s="32"/>
      <x:c r="K156" s="32"/>
      <x:c r="L156" s="32"/>
      <x:c r="M156" s="32"/>
    </x:row>
    <x:row r="157">
      <x:c r="A157" s="32"/>
      <x:c r="B157"/>
      <x:c r="C157"/>
      <x:c r="D157"/>
      <x:c r="E157" s="20"/>
      <x:c r="F157"/>
      <x:c r="G157"/>
      <x:c r="H157" s="34"/>
      <x:c r="I157" s="34" t="str">
        <x:f>IF(H157="","",IF(G157="역방향",8-H157,H157))</x:f>
      </x:c>
      <x:c r="J157" s="32"/>
      <x:c r="K157" s="32"/>
      <x:c r="L157" s="32"/>
      <x:c r="M157" s="32"/>
    </x:row>
    <x:row r="158">
      <x:c r="A158" s="32"/>
      <x:c r="B158"/>
      <x:c r="C158"/>
      <x:c r="D158"/>
      <x:c r="E158" s="20"/>
      <x:c r="F158"/>
      <x:c r="G158"/>
      <x:c r="H158" s="34"/>
      <x:c r="I158" s="34" t="str">
        <x:f>IF(H158="","",IF(G158="역방향",8-H158,H158))</x:f>
      </x:c>
      <x:c r="J158" s="32"/>
      <x:c r="K158" s="32"/>
      <x:c r="L158" s="32"/>
      <x:c r="M158" s="32"/>
    </x:row>
    <x:row r="159">
      <x:c r="A159" s="32"/>
      <x:c r="B159"/>
      <x:c r="C159"/>
      <x:c r="D159"/>
      <x:c r="E159" s="20"/>
      <x:c r="F159"/>
      <x:c r="G159"/>
      <x:c r="H159" s="34"/>
      <x:c r="I159" s="34" t="str">
        <x:f>IF(H159="","",IF(G159="역방향",8-H159,H159))</x:f>
      </x:c>
      <x:c r="J159" s="32"/>
      <x:c r="K159" s="32"/>
      <x:c r="L159" s="32"/>
      <x:c r="M159" s="32"/>
    </x:row>
    <x:row r="160">
      <x:c r="A160" s="32"/>
      <x:c r="B160"/>
      <x:c r="C160"/>
      <x:c r="D160"/>
      <x:c r="E160" s="20"/>
      <x:c r="F160"/>
      <x:c r="G160"/>
      <x:c r="H160" s="34"/>
      <x:c r="I160" s="34" t="str">
        <x:f>IF(H160="","",IF(G160="역방향",8-H160,H160))</x:f>
      </x:c>
      <x:c r="J160" s="32"/>
      <x:c r="K160" s="32"/>
      <x:c r="L160" s="32"/>
      <x:c r="M160" s="32"/>
    </x:row>
    <x:row r="161">
      <x:c r="A161" s="32"/>
      <x:c r="B161"/>
      <x:c r="C161"/>
      <x:c r="D161"/>
      <x:c r="E161" s="20"/>
      <x:c r="F161"/>
      <x:c r="G161"/>
      <x:c r="H161" s="34"/>
      <x:c r="I161" s="34" t="str">
        <x:f>IF(H161="","",IF(G161="역방향",8-H161,H161))</x:f>
      </x:c>
      <x:c r="J161" s="32"/>
      <x:c r="K161" s="32"/>
      <x:c r="L161" s="32"/>
      <x:c r="M161" s="32"/>
    </x:row>
    <x:row r="162">
      <x:c r="A162" s="32"/>
      <x:c r="B162"/>
      <x:c r="C162"/>
      <x:c r="D162"/>
      <x:c r="E162" s="20"/>
      <x:c r="F162"/>
      <x:c r="G162"/>
      <x:c r="H162" s="34"/>
      <x:c r="I162" s="34" t="str">
        <x:f>IF(H162="","",IF(G162="역방향",8-H162,H162))</x:f>
      </x:c>
      <x:c r="J162" s="32"/>
      <x:c r="K162" s="32"/>
      <x:c r="L162" s="32"/>
      <x:c r="M162" s="32"/>
    </x:row>
    <x:row r="163">
      <x:c r="A163" s="32"/>
      <x:c r="B163"/>
      <x:c r="C163"/>
      <x:c r="D163"/>
      <x:c r="E163" s="20"/>
      <x:c r="F163"/>
      <x:c r="G163"/>
      <x:c r="H163" s="34"/>
      <x:c r="I163" s="34" t="str">
        <x:f>IF(H163="","",IF(G163="역방향",8-H163,H163))</x:f>
      </x:c>
      <x:c r="J163" s="32"/>
      <x:c r="K163" s="32"/>
      <x:c r="L163" s="32"/>
      <x:c r="M163" s="32"/>
    </x:row>
    <x:row r="164">
      <x:c r="A164" s="32"/>
      <x:c r="B164"/>
      <x:c r="C164"/>
      <x:c r="D164"/>
      <x:c r="E164" s="20"/>
      <x:c r="F164"/>
      <x:c r="G164"/>
      <x:c r="H164" s="34"/>
      <x:c r="I164" s="34" t="str">
        <x:f>IF(H164="","",IF(G164="역방향",8-H164,H164))</x:f>
      </x:c>
      <x:c r="J164" s="32"/>
      <x:c r="K164" s="32"/>
      <x:c r="L164" s="32"/>
      <x:c r="M164" s="32"/>
    </x:row>
    <x:row r="165">
      <x:c r="A165" s="32"/>
      <x:c r="B165"/>
      <x:c r="C165"/>
      <x:c r="D165"/>
      <x:c r="E165" s="20"/>
      <x:c r="F165"/>
      <x:c r="G165"/>
      <x:c r="H165" s="34"/>
      <x:c r="I165" s="34" t="str">
        <x:f>IF(H165="","",IF(G165="역방향",8-H165,H165))</x:f>
      </x:c>
      <x:c r="J165" s="32"/>
      <x:c r="K165" s="32"/>
      <x:c r="L165" s="32"/>
      <x:c r="M165" s="32"/>
    </x:row>
    <x:row r="166">
      <x:c r="A166" s="32"/>
      <x:c r="B166"/>
      <x:c r="C166"/>
      <x:c r="D166"/>
      <x:c r="E166" s="20"/>
      <x:c r="F166"/>
      <x:c r="G166"/>
      <x:c r="H166" s="34"/>
      <x:c r="I166" s="34" t="str">
        <x:f>IF(H166="","",IF(G166="역방향",8-H166,H166))</x:f>
      </x:c>
      <x:c r="J166" s="32"/>
      <x:c r="K166" s="32"/>
      <x:c r="L166" s="32"/>
      <x:c r="M166" s="32"/>
    </x:row>
    <x:row r="167">
      <x:c r="A167" s="32"/>
      <x:c r="B167"/>
      <x:c r="C167"/>
      <x:c r="D167"/>
      <x:c r="E167" s="20"/>
      <x:c r="F167"/>
      <x:c r="G167"/>
      <x:c r="H167" s="34"/>
      <x:c r="I167" s="34" t="str">
        <x:f>IF(H167="","",IF(G167="역방향",8-H167,H167))</x:f>
      </x:c>
      <x:c r="J167" s="32"/>
      <x:c r="K167" s="32"/>
      <x:c r="L167" s="32"/>
      <x:c r="M167" s="32"/>
    </x:row>
    <x:row r="168">
      <x:c r="A168" s="32"/>
      <x:c r="B168"/>
      <x:c r="C168"/>
      <x:c r="D168"/>
      <x:c r="E168" s="20"/>
      <x:c r="F168"/>
      <x:c r="G168"/>
      <x:c r="H168" s="34"/>
      <x:c r="I168" s="34" t="str">
        <x:f>IF(H168="","",IF(G168="역방향",8-H168,H168))</x:f>
      </x:c>
      <x:c r="J168" s="32"/>
      <x:c r="K168" s="32"/>
      <x:c r="L168" s="32"/>
      <x:c r="M168" s="32"/>
    </x:row>
    <x:row r="169">
      <x:c r="A169" s="32"/>
      <x:c r="B169"/>
      <x:c r="C169"/>
      <x:c r="D169"/>
      <x:c r="E169" s="20"/>
      <x:c r="F169"/>
      <x:c r="G169"/>
      <x:c r="H169" s="34"/>
      <x:c r="I169" s="34" t="str">
        <x:f>IF(H169="","",IF(G169="역방향",8-H169,H169))</x:f>
      </x:c>
      <x:c r="J169" s="32"/>
      <x:c r="K169" s="32"/>
      <x:c r="L169" s="32"/>
      <x:c r="M169" s="32"/>
    </x:row>
    <x:row r="170">
      <x:c r="A170" s="32"/>
      <x:c r="B170"/>
      <x:c r="C170"/>
      <x:c r="D170"/>
      <x:c r="E170" s="20"/>
      <x:c r="F170"/>
      <x:c r="G170"/>
      <x:c r="H170" s="34"/>
      <x:c r="I170" s="34" t="str">
        <x:f>IF(H170="","",IF(G170="역방향",8-H170,H170))</x:f>
      </x:c>
      <x:c r="J170" s="32"/>
      <x:c r="K170" s="32"/>
      <x:c r="L170" s="32"/>
      <x:c r="M170" s="32"/>
    </x:row>
    <x:row r="171">
      <x:c r="A171" s="32"/>
      <x:c r="B171"/>
      <x:c r="C171"/>
      <x:c r="D171"/>
      <x:c r="E171" s="20"/>
      <x:c r="F171"/>
      <x:c r="G171"/>
      <x:c r="H171" s="34"/>
      <x:c r="I171" s="34" t="str">
        <x:f>IF(H171="","",IF(G171="역방향",8-H171,H171))</x:f>
      </x:c>
      <x:c r="J171" s="32"/>
      <x:c r="K171" s="32"/>
      <x:c r="L171" s="32"/>
      <x:c r="M171" s="32"/>
    </x:row>
    <x:row r="172">
      <x:c r="A172" s="32"/>
      <x:c r="B172"/>
      <x:c r="C172"/>
      <x:c r="D172"/>
      <x:c r="E172" s="20"/>
      <x:c r="F172"/>
      <x:c r="G172"/>
      <x:c r="H172" s="34"/>
      <x:c r="I172" s="34" t="str">
        <x:f>IF(H172="","",IF(G172="역방향",8-H172,H172))</x:f>
      </x:c>
      <x:c r="J172" s="32"/>
      <x:c r="K172" s="32"/>
      <x:c r="L172" s="32"/>
      <x:c r="M172" s="32"/>
    </x:row>
    <x:row r="173">
      <x:c r="A173" s="32"/>
      <x:c r="B173"/>
      <x:c r="C173"/>
      <x:c r="D173"/>
      <x:c r="E173" s="20"/>
      <x:c r="F173"/>
      <x:c r="G173"/>
      <x:c r="H173" s="34"/>
      <x:c r="I173" s="34" t="str">
        <x:f>IF(H173="","",IF(G173="역방향",8-H173,H173))</x:f>
      </x:c>
      <x:c r="J173" s="32"/>
      <x:c r="K173" s="32"/>
      <x:c r="L173" s="32"/>
      <x:c r="M173" s="32"/>
    </x:row>
    <x:row r="174">
      <x:c r="A174" s="32"/>
      <x:c r="B174"/>
      <x:c r="C174"/>
      <x:c r="D174"/>
      <x:c r="E174" s="20"/>
      <x:c r="F174"/>
      <x:c r="G174"/>
      <x:c r="H174" s="34"/>
      <x:c r="I174" s="34" t="str">
        <x:f>IF(H174="","",IF(G174="역방향",8-H174,H174))</x:f>
      </x:c>
      <x:c r="J174" s="32"/>
      <x:c r="K174" s="32"/>
      <x:c r="L174" s="32"/>
      <x:c r="M174" s="32"/>
    </x:row>
    <x:row r="175">
      <x:c r="A175" s="32"/>
      <x:c r="B175"/>
      <x:c r="C175"/>
      <x:c r="D175"/>
      <x:c r="E175" s="20"/>
      <x:c r="F175"/>
      <x:c r="G175"/>
      <x:c r="H175" s="34"/>
      <x:c r="I175" s="34" t="str">
        <x:f>IF(H175="","",IF(G175="역방향",8-H175,H175))</x:f>
      </x:c>
      <x:c r="J175" s="32"/>
      <x:c r="K175" s="32"/>
      <x:c r="L175" s="32"/>
      <x:c r="M175" s="32"/>
    </x:row>
    <x:row r="176">
      <x:c r="A176" s="32"/>
      <x:c r="B176"/>
      <x:c r="C176"/>
      <x:c r="D176"/>
      <x:c r="E176" s="20"/>
      <x:c r="F176"/>
      <x:c r="G176"/>
      <x:c r="H176" s="34"/>
      <x:c r="I176" s="34" t="str">
        <x:f>IF(H176="","",IF(G176="역방향",8-H176,H176))</x:f>
      </x:c>
      <x:c r="J176" s="32"/>
      <x:c r="K176" s="32"/>
      <x:c r="L176" s="32"/>
      <x:c r="M176" s="32"/>
    </x:row>
    <x:row r="177">
      <x:c r="A177" s="32"/>
      <x:c r="B177"/>
      <x:c r="C177"/>
      <x:c r="D177"/>
      <x:c r="E177" s="20"/>
      <x:c r="F177"/>
      <x:c r="G177"/>
      <x:c r="H177" s="34"/>
      <x:c r="I177" s="34" t="str">
        <x:f>IF(H177="","",IF(G177="역방향",8-H177,H177))</x:f>
      </x:c>
      <x:c r="J177" s="32"/>
      <x:c r="K177" s="32"/>
      <x:c r="L177" s="32"/>
      <x:c r="M177" s="32"/>
    </x:row>
    <x:row r="178">
      <x:c r="A178" s="32"/>
      <x:c r="B178"/>
      <x:c r="C178"/>
      <x:c r="D178"/>
      <x:c r="E178" s="20"/>
      <x:c r="F178"/>
      <x:c r="G178"/>
      <x:c r="H178" s="34"/>
      <x:c r="I178" s="34" t="str">
        <x:f>IF(H178="","",IF(G178="역방향",8-H178,H178))</x:f>
      </x:c>
      <x:c r="J178" s="32"/>
      <x:c r="K178" s="32"/>
      <x:c r="L178" s="32"/>
      <x:c r="M178" s="32"/>
    </x:row>
    <x:row r="179">
      <x:c r="A179" s="32"/>
      <x:c r="B179"/>
      <x:c r="C179"/>
      <x:c r="D179"/>
      <x:c r="E179" s="20"/>
      <x:c r="F179"/>
      <x:c r="G179"/>
      <x:c r="H179" s="34"/>
      <x:c r="I179" s="34" t="str">
        <x:f>IF(H179="","",IF(G179="역방향",8-H179,H179))</x:f>
      </x:c>
      <x:c r="J179" s="32"/>
      <x:c r="K179" s="32"/>
      <x:c r="L179" s="32"/>
      <x:c r="M179" s="32"/>
    </x:row>
    <x:row r="180">
      <x:c r="A180" s="32"/>
      <x:c r="B180"/>
      <x:c r="C180"/>
      <x:c r="D180"/>
      <x:c r="E180" s="20"/>
      <x:c r="F180"/>
      <x:c r="G180"/>
      <x:c r="H180" s="34"/>
      <x:c r="I180" s="34" t="str">
        <x:f>IF(H180="","",IF(G180="역방향",8-H180,H180))</x:f>
      </x:c>
      <x:c r="J180" s="32"/>
      <x:c r="K180" s="32"/>
      <x:c r="L180" s="32"/>
      <x:c r="M180" s="32"/>
    </x:row>
    <x:row r="181">
      <x:c r="A181" s="32"/>
      <x:c r="B181"/>
      <x:c r="C181"/>
      <x:c r="D181"/>
      <x:c r="E181" s="20"/>
      <x:c r="F181"/>
      <x:c r="G181"/>
      <x:c r="H181" s="34"/>
      <x:c r="I181" s="34" t="str">
        <x:f>IF(H181="","",IF(G181="역방향",8-H181,H181))</x:f>
      </x:c>
      <x:c r="J181" s="32"/>
      <x:c r="K181" s="32"/>
      <x:c r="L181" s="32"/>
      <x:c r="M181" s="32"/>
    </x:row>
    <x:row r="182">
      <x:c r="A182" s="32"/>
      <x:c r="B182"/>
      <x:c r="C182"/>
      <x:c r="D182"/>
      <x:c r="E182" s="20"/>
      <x:c r="F182"/>
      <x:c r="G182"/>
      <x:c r="H182" s="34"/>
      <x:c r="I182" s="34" t="str">
        <x:f>IF(H182="","",IF(G182="역방향",8-H182,H182))</x:f>
      </x:c>
      <x:c r="J182" s="32"/>
      <x:c r="K182" s="32"/>
      <x:c r="L182" s="32"/>
      <x:c r="M182" s="32"/>
    </x:row>
    <x:row r="183">
      <x:c r="A183" s="32"/>
      <x:c r="B183"/>
      <x:c r="C183"/>
      <x:c r="D183"/>
      <x:c r="E183" s="20"/>
      <x:c r="F183"/>
      <x:c r="G183"/>
      <x:c r="H183" s="34"/>
      <x:c r="I183" s="34" t="str">
        <x:f>IF(H183="","",IF(G183="역방향",8-H183,H183))</x:f>
      </x:c>
      <x:c r="J183" s="32"/>
      <x:c r="K183" s="32"/>
      <x:c r="L183" s="32"/>
      <x:c r="M183" s="32"/>
    </x:row>
    <x:row r="184">
      <x:c r="A184" s="32"/>
      <x:c r="B184"/>
      <x:c r="C184"/>
      <x:c r="D184"/>
      <x:c r="E184" s="20"/>
      <x:c r="F184"/>
      <x:c r="G184"/>
      <x:c r="H184" s="34"/>
      <x:c r="I184" s="34" t="str">
        <x:f>IF(H184="","",IF(G184="역방향",8-H184,H184))</x:f>
      </x:c>
      <x:c r="J184" s="32"/>
      <x:c r="K184" s="32"/>
      <x:c r="L184" s="32"/>
      <x:c r="M184" s="32"/>
    </x:row>
    <x:row r="185">
      <x:c r="A185" s="32"/>
      <x:c r="B185"/>
      <x:c r="C185"/>
      <x:c r="D185"/>
      <x:c r="E185" s="20"/>
      <x:c r="F185"/>
      <x:c r="G185"/>
      <x:c r="H185" s="34"/>
      <x:c r="I185" s="34" t="str">
        <x:f>IF(H185="","",IF(G185="역방향",8-H185,H185))</x:f>
      </x:c>
      <x:c r="J185" s="32"/>
      <x:c r="K185" s="32"/>
      <x:c r="L185" s="32"/>
      <x:c r="M185" s="32"/>
    </x:row>
    <x:row r="186">
      <x:c r="A186" s="32"/>
      <x:c r="B186"/>
      <x:c r="C186"/>
      <x:c r="D186"/>
      <x:c r="E186" s="20"/>
      <x:c r="F186"/>
      <x:c r="G186"/>
      <x:c r="H186" s="34"/>
      <x:c r="I186" s="34" t="str">
        <x:f>IF(H186="","",IF(G186="역방향",8-H186,H186))</x:f>
      </x:c>
      <x:c r="J186" s="32"/>
      <x:c r="K186" s="32"/>
      <x:c r="L186" s="32"/>
      <x:c r="M186" s="32"/>
    </x:row>
    <x:row r="187">
      <x:c r="A187" s="32"/>
      <x:c r="B187"/>
      <x:c r="C187"/>
      <x:c r="D187"/>
      <x:c r="E187" s="20"/>
      <x:c r="F187"/>
      <x:c r="G187"/>
      <x:c r="H187" s="34"/>
      <x:c r="I187" s="34" t="str">
        <x:f>IF(H187="","",IF(G187="역방향",8-H187,H187))</x:f>
      </x:c>
      <x:c r="J187" s="32"/>
      <x:c r="K187" s="32"/>
      <x:c r="L187" s="32"/>
      <x:c r="M187" s="32"/>
    </x:row>
    <x:row r="188">
      <x:c r="A188" s="32"/>
      <x:c r="B188"/>
      <x:c r="C188"/>
      <x:c r="D188"/>
      <x:c r="E188" s="20"/>
      <x:c r="F188"/>
      <x:c r="G188"/>
      <x:c r="H188" s="34"/>
      <x:c r="I188" s="34" t="str">
        <x:f>IF(H188="","",IF(G188="역방향",8-H188,H188))</x:f>
      </x:c>
      <x:c r="J188" s="32"/>
      <x:c r="K188" s="32"/>
      <x:c r="L188" s="32"/>
      <x:c r="M188" s="32"/>
    </x:row>
    <x:row r="189">
      <x:c r="A189" s="32"/>
      <x:c r="B189"/>
      <x:c r="C189"/>
      <x:c r="D189"/>
      <x:c r="E189" s="20"/>
      <x:c r="F189"/>
      <x:c r="G189"/>
      <x:c r="H189" s="34"/>
      <x:c r="I189" s="34" t="str">
        <x:f>IF(H189="","",IF(G189="역방향",8-H189,H189))</x:f>
      </x:c>
      <x:c r="J189" s="32"/>
      <x:c r="K189" s="32"/>
      <x:c r="L189" s="32"/>
      <x:c r="M189" s="32"/>
    </x:row>
    <x:row r="190">
      <x:c r="A190" s="32"/>
      <x:c r="B190"/>
      <x:c r="C190"/>
      <x:c r="D190"/>
      <x:c r="E190" s="20"/>
      <x:c r="F190"/>
      <x:c r="G190"/>
      <x:c r="H190" s="34"/>
      <x:c r="I190" s="34" t="str">
        <x:f>IF(H190="","",IF(G190="역방향",8-H190,H190))</x:f>
      </x:c>
      <x:c r="J190" s="32"/>
      <x:c r="K190" s="32"/>
      <x:c r="L190" s="32"/>
      <x:c r="M190" s="32"/>
    </x:row>
    <x:row r="191">
      <x:c r="A191" s="32"/>
      <x:c r="B191"/>
      <x:c r="C191"/>
      <x:c r="D191"/>
      <x:c r="E191" s="20"/>
      <x:c r="F191"/>
      <x:c r="G191"/>
      <x:c r="H191" s="34"/>
      <x:c r="I191" s="34" t="str">
        <x:f>IF(H191="","",IF(G191="역방향",8-H191,H191))</x:f>
      </x:c>
      <x:c r="J191" s="32"/>
      <x:c r="K191" s="32"/>
      <x:c r="L191" s="32"/>
      <x:c r="M191" s="32"/>
    </x:row>
    <x:row r="192">
      <x:c r="A192" s="32"/>
      <x:c r="B192"/>
      <x:c r="C192"/>
      <x:c r="D192"/>
      <x:c r="E192" s="20"/>
      <x:c r="F192"/>
      <x:c r="G192"/>
      <x:c r="H192" s="34"/>
      <x:c r="I192" s="34" t="str">
        <x:f>IF(H192="","",IF(G192="역방향",8-H192,H192))</x:f>
      </x:c>
      <x:c r="J192" s="32"/>
      <x:c r="K192" s="32"/>
      <x:c r="L192" s="32"/>
      <x:c r="M192" s="32"/>
    </x:row>
    <x:row r="193">
      <x:c r="A193" s="32"/>
      <x:c r="B193"/>
      <x:c r="C193"/>
      <x:c r="D193"/>
      <x:c r="E193" s="20"/>
      <x:c r="F193"/>
      <x:c r="G193"/>
      <x:c r="H193" s="34"/>
      <x:c r="I193" s="34" t="str">
        <x:f>IF(H193="","",IF(G193="역방향",8-H193,H193))</x:f>
      </x:c>
      <x:c r="J193" s="32"/>
      <x:c r="K193" s="32"/>
      <x:c r="L193" s="32"/>
      <x:c r="M193" s="32"/>
    </x:row>
    <x:row r="194">
      <x:c r="A194" s="32"/>
      <x:c r="B194"/>
      <x:c r="C194"/>
      <x:c r="D194"/>
      <x:c r="E194" s="20"/>
      <x:c r="F194"/>
      <x:c r="G194"/>
      <x:c r="H194" s="34"/>
      <x:c r="I194" s="34" t="str">
        <x:f>IF(H194="","",IF(G194="역방향",8-H194,H194))</x:f>
      </x:c>
      <x:c r="J194" s="32"/>
      <x:c r="K194" s="32"/>
      <x:c r="L194" s="32"/>
      <x:c r="M194" s="32"/>
    </x:row>
    <x:row r="195">
      <x:c r="A195" s="32"/>
      <x:c r="B195"/>
      <x:c r="C195"/>
      <x:c r="D195"/>
      <x:c r="E195" s="20"/>
      <x:c r="F195"/>
      <x:c r="G195"/>
      <x:c r="H195" s="34"/>
      <x:c r="I195" s="34" t="str">
        <x:f>IF(H195="","",IF(G195="역방향",8-H195,H195))</x:f>
      </x:c>
      <x:c r="J195" s="32"/>
      <x:c r="K195" s="32"/>
      <x:c r="L195" s="32"/>
      <x:c r="M195" s="32"/>
    </x:row>
    <x:row r="196">
      <x:c r="A196" s="32"/>
      <x:c r="B196"/>
      <x:c r="C196"/>
      <x:c r="D196"/>
      <x:c r="E196" s="20"/>
      <x:c r="F196"/>
      <x:c r="G196"/>
      <x:c r="H196" s="34"/>
      <x:c r="I196" s="34" t="str">
        <x:f>IF(H196="","",IF(G196="역방향",8-H196,H196))</x:f>
      </x:c>
      <x:c r="J196" s="32"/>
      <x:c r="K196" s="32"/>
      <x:c r="L196" s="32"/>
      <x:c r="M196" s="32"/>
    </x:row>
    <x:row r="197">
      <x:c r="A197" s="32"/>
      <x:c r="B197"/>
      <x:c r="C197"/>
      <x:c r="D197"/>
      <x:c r="E197" s="20"/>
      <x:c r="F197"/>
      <x:c r="G197"/>
      <x:c r="H197" s="34"/>
      <x:c r="I197" s="34" t="str">
        <x:f>IF(H197="","",IF(G197="역방향",8-H197,H197))</x:f>
      </x:c>
      <x:c r="J197" s="32"/>
      <x:c r="K197" s="32"/>
      <x:c r="L197" s="32"/>
      <x:c r="M197" s="32"/>
    </x:row>
    <x:row r="198">
      <x:c r="A198" s="32"/>
      <x:c r="B198"/>
      <x:c r="C198"/>
      <x:c r="D198"/>
      <x:c r="E198" s="20"/>
      <x:c r="F198"/>
      <x:c r="G198"/>
      <x:c r="H198" s="34"/>
      <x:c r="I198" s="34" t="str">
        <x:f>IF(H198="","",IF(G198="역방향",8-H198,H198))</x:f>
      </x:c>
      <x:c r="J198" s="32"/>
      <x:c r="K198" s="32"/>
      <x:c r="L198" s="32"/>
      <x:c r="M198" s="32"/>
    </x:row>
    <x:row r="199">
      <x:c r="A199" s="32"/>
      <x:c r="B199"/>
      <x:c r="C199"/>
      <x:c r="D199"/>
      <x:c r="E199" s="20"/>
      <x:c r="F199"/>
      <x:c r="G199"/>
      <x:c r="H199" s="34"/>
      <x:c r="I199" s="34" t="str">
        <x:f>IF(H199="","",IF(G199="역방향",8-H199,H199))</x:f>
      </x:c>
      <x:c r="J199" s="32"/>
      <x:c r="K199" s="32"/>
      <x:c r="L199" s="32"/>
      <x:c r="M199" s="32"/>
    </x:row>
    <x:row r="200">
      <x:c r="A200" s="32"/>
      <x:c r="B200"/>
      <x:c r="C200"/>
      <x:c r="D200"/>
      <x:c r="E200" s="20"/>
      <x:c r="F200"/>
      <x:c r="G200"/>
      <x:c r="H200" s="34"/>
      <x:c r="I200" s="34" t="str">
        <x:f>IF(H200="","",IF(G200="역방향",8-H200,H200))</x:f>
      </x:c>
      <x:c r="J200" s="32"/>
      <x:c r="K200" s="32"/>
      <x:c r="L200" s="32"/>
      <x:c r="M200" s="32"/>
    </x:row>
    <x:row r="201">
      <x:c r="A201" s="32"/>
      <x:c r="B201"/>
      <x:c r="C201"/>
      <x:c r="D201"/>
      <x:c r="E201" s="20"/>
      <x:c r="F201"/>
      <x:c r="G201"/>
      <x:c r="H201" s="34"/>
      <x:c r="I201" s="34" t="str">
        <x:f>IF(H201="","",IF(G201="역방향",8-H201,H201))</x:f>
      </x:c>
      <x:c r="J201" s="32"/>
      <x:c r="K201" s="32"/>
      <x:c r="L201" s="32"/>
      <x:c r="M201" s="32"/>
    </x:row>
    <x:row r="202">
      <x:c r="A202" s="32"/>
      <x:c r="B202"/>
      <x:c r="C202"/>
      <x:c r="D202"/>
      <x:c r="E202" s="20"/>
      <x:c r="F202"/>
      <x:c r="G202"/>
      <x:c r="H202" s="34"/>
      <x:c r="I202" s="34" t="str">
        <x:f>IF(H202="","",IF(G202="역방향",8-H202,H202))</x:f>
      </x:c>
      <x:c r="J202" s="32"/>
      <x:c r="K202" s="32"/>
      <x:c r="L202" s="32"/>
      <x:c r="M202" s="32"/>
    </x:row>
    <x:row r="203">
      <x:c r="A203" s="32"/>
      <x:c r="B203"/>
      <x:c r="C203"/>
      <x:c r="D203"/>
      <x:c r="E203" s="20"/>
      <x:c r="F203"/>
      <x:c r="G203"/>
      <x:c r="H203" s="34"/>
      <x:c r="I203" s="34" t="str">
        <x:f>IF(H203="","",IF(G203="역방향",8-H203,H203))</x:f>
      </x:c>
      <x:c r="J203" s="32"/>
      <x:c r="K203" s="32"/>
      <x:c r="L203" s="32"/>
      <x:c r="M203" s="32"/>
    </x:row>
    <x:row r="204">
      <x:c r="A204" s="32"/>
      <x:c r="B204"/>
      <x:c r="C204"/>
      <x:c r="D204"/>
      <x:c r="E204" s="20"/>
      <x:c r="F204"/>
      <x:c r="G204"/>
      <x:c r="H204" s="34"/>
      <x:c r="I204" s="34" t="str">
        <x:f>IF(H204="","",IF(G204="역방향",8-H204,H204))</x:f>
      </x:c>
      <x:c r="J204" s="32"/>
      <x:c r="K204" s="32"/>
      <x:c r="L204" s="32"/>
      <x:c r="M204" s="32"/>
    </x:row>
    <x:row r="205">
      <x:c r="A205" s="32"/>
      <x:c r="B205"/>
      <x:c r="C205"/>
      <x:c r="D205"/>
      <x:c r="E205" s="20"/>
      <x:c r="F205"/>
      <x:c r="G205"/>
      <x:c r="H205" s="34"/>
      <x:c r="I205" s="34" t="str">
        <x:f>IF(H205="","",IF(G205="역방향",8-H205,H205))</x:f>
      </x:c>
      <x:c r="J205" s="32"/>
      <x:c r="K205" s="32"/>
      <x:c r="L205" s="32"/>
      <x:c r="M205" s="32"/>
    </x:row>
    <x:row r="206">
      <x:c r="A206" s="32"/>
      <x:c r="B206"/>
      <x:c r="C206"/>
      <x:c r="D206"/>
      <x:c r="E206" s="20"/>
      <x:c r="F206"/>
      <x:c r="G206"/>
      <x:c r="H206" s="34"/>
      <x:c r="I206" s="34" t="str">
        <x:f>IF(H206="","",IF(G206="역방향",8-H206,H206))</x:f>
      </x:c>
      <x:c r="J206" s="32"/>
      <x:c r="K206" s="32"/>
      <x:c r="L206" s="32"/>
      <x:c r="M206" s="32"/>
    </x:row>
    <x:row r="207">
      <x:c r="A207" s="32"/>
      <x:c r="B207"/>
      <x:c r="C207"/>
      <x:c r="D207"/>
      <x:c r="E207" s="20"/>
      <x:c r="F207"/>
      <x:c r="G207"/>
      <x:c r="H207" s="34"/>
      <x:c r="I207" s="34" t="str">
        <x:f>IF(H207="","",IF(G207="역방향",8-H207,H207))</x:f>
      </x:c>
      <x:c r="J207" s="32"/>
      <x:c r="K207" s="32"/>
      <x:c r="L207" s="32"/>
      <x:c r="M207" s="32"/>
    </x:row>
    <x:row r="208">
      <x:c r="A208" s="32"/>
      <x:c r="B208"/>
      <x:c r="C208"/>
      <x:c r="D208"/>
      <x:c r="E208" s="20"/>
      <x:c r="F208"/>
      <x:c r="G208"/>
      <x:c r="H208" s="34"/>
      <x:c r="I208" s="34" t="str">
        <x:f>IF(H208="","",IF(G208="역방향",8-H208,H208))</x:f>
      </x:c>
      <x:c r="J208" s="32"/>
      <x:c r="K208" s="32"/>
      <x:c r="L208" s="32"/>
      <x:c r="M208" s="32"/>
    </x:row>
    <x:row r="209">
      <x:c r="A209" s="32"/>
      <x:c r="B209"/>
      <x:c r="C209"/>
      <x:c r="D209"/>
      <x:c r="E209" s="20"/>
      <x:c r="F209"/>
      <x:c r="G209"/>
      <x:c r="H209" s="34"/>
      <x:c r="I209" s="34" t="str">
        <x:f>IF(H209="","",IF(G209="역방향",8-H209,H209))</x:f>
      </x:c>
      <x:c r="J209" s="32"/>
      <x:c r="K209" s="32"/>
      <x:c r="L209" s="32"/>
      <x:c r="M209" s="32"/>
    </x:row>
    <x:row r="210">
      <x:c r="A210" s="32"/>
      <x:c r="B210"/>
      <x:c r="C210"/>
      <x:c r="D210"/>
      <x:c r="E210" s="20"/>
      <x:c r="F210"/>
      <x:c r="G210"/>
      <x:c r="H210" s="34"/>
      <x:c r="I210" s="34" t="str">
        <x:f>IF(H210="","",IF(G210="역방향",8-H210,H210))</x:f>
      </x:c>
      <x:c r="J210" s="32"/>
      <x:c r="K210" s="32"/>
      <x:c r="L210" s="32"/>
      <x:c r="M210" s="32"/>
    </x:row>
    <x:row r="211">
      <x:c r="A211" s="32"/>
      <x:c r="B211"/>
      <x:c r="C211"/>
      <x:c r="D211"/>
      <x:c r="E211" s="20"/>
      <x:c r="F211"/>
      <x:c r="G211"/>
      <x:c r="H211" s="34"/>
      <x:c r="I211" s="34" t="str">
        <x:f>IF(H211="","",IF(G211="역방향",8-H211,H211))</x:f>
      </x:c>
      <x:c r="J211" s="32"/>
      <x:c r="K211" s="32"/>
      <x:c r="L211" s="32"/>
      <x:c r="M211" s="32"/>
    </x:row>
    <x:row r="212">
      <x:c r="A212" s="32"/>
      <x:c r="B212"/>
      <x:c r="C212"/>
      <x:c r="D212"/>
      <x:c r="E212" s="20"/>
      <x:c r="F212"/>
      <x:c r="G212"/>
      <x:c r="H212" s="34"/>
      <x:c r="I212" s="34" t="str">
        <x:f>IF(H212="","",IF(G212="역방향",8-H212,H212))</x:f>
      </x:c>
      <x:c r="J212" s="32"/>
      <x:c r="K212" s="32"/>
      <x:c r="L212" s="32"/>
      <x:c r="M212" s="32"/>
    </x:row>
    <x:row r="213">
      <x:c r="A213" s="32"/>
      <x:c r="B213"/>
      <x:c r="C213"/>
      <x:c r="D213"/>
      <x:c r="E213" s="20"/>
      <x:c r="F213"/>
      <x:c r="G213"/>
      <x:c r="H213" s="34"/>
      <x:c r="I213" s="34" t="str">
        <x:f>IF(H213="","",IF(G213="역방향",8-H213,H213))</x:f>
      </x:c>
      <x:c r="J213" s="32"/>
      <x:c r="K213" s="32"/>
      <x:c r="L213" s="32"/>
      <x:c r="M213" s="32"/>
    </x:row>
    <x:row r="214">
      <x:c r="A214" s="32"/>
      <x:c r="B214"/>
      <x:c r="C214"/>
      <x:c r="D214"/>
      <x:c r="E214" s="20"/>
      <x:c r="F214"/>
      <x:c r="G214"/>
      <x:c r="H214" s="34"/>
      <x:c r="I214" s="34" t="str">
        <x:f>IF(H214="","",IF(G214="역방향",8-H214,H214))</x:f>
      </x:c>
      <x:c r="J214" s="32"/>
      <x:c r="K214" s="32"/>
      <x:c r="L214" s="32"/>
      <x:c r="M214" s="32"/>
    </x:row>
    <x:row r="215">
      <x:c r="A215" s="32"/>
      <x:c r="B215"/>
      <x:c r="C215"/>
      <x:c r="D215"/>
      <x:c r="E215" s="20"/>
      <x:c r="F215"/>
      <x:c r="G215"/>
      <x:c r="H215" s="34"/>
      <x:c r="I215" s="34" t="str">
        <x:f>IF(H215="","",IF(G215="역방향",8-H215,H215))</x:f>
      </x:c>
      <x:c r="J215" s="32"/>
      <x:c r="K215" s="32"/>
      <x:c r="L215" s="32"/>
      <x:c r="M215" s="32"/>
    </x:row>
    <x:row r="216">
      <x:c r="A216" s="32"/>
      <x:c r="B216"/>
      <x:c r="C216"/>
      <x:c r="D216"/>
      <x:c r="E216" s="20"/>
      <x:c r="F216"/>
      <x:c r="G216"/>
      <x:c r="H216" s="34"/>
      <x:c r="I216" s="34" t="str">
        <x:f>IF(H216="","",IF(G216="역방향",8-H216,H216))</x:f>
      </x:c>
      <x:c r="J216" s="32"/>
      <x:c r="K216" s="32"/>
      <x:c r="L216" s="32"/>
      <x:c r="M216" s="32"/>
    </x:row>
    <x:row r="217">
      <x:c r="A217" s="32"/>
      <x:c r="B217"/>
      <x:c r="C217"/>
      <x:c r="D217"/>
      <x:c r="E217" s="20"/>
      <x:c r="F217"/>
      <x:c r="G217"/>
      <x:c r="H217" s="34"/>
      <x:c r="I217" s="34" t="str">
        <x:f>IF(H217="","",IF(G217="역방향",8-H217,H217))</x:f>
      </x:c>
      <x:c r="J217" s="32"/>
      <x:c r="K217" s="32"/>
      <x:c r="L217" s="32"/>
      <x:c r="M217" s="32"/>
    </x:row>
    <x:row r="218">
      <x:c r="A218" s="32"/>
      <x:c r="B218"/>
      <x:c r="C218"/>
      <x:c r="D218"/>
      <x:c r="E218" s="20"/>
      <x:c r="F218"/>
      <x:c r="G218"/>
      <x:c r="H218" s="34"/>
      <x:c r="I218" s="34" t="str">
        <x:f>IF(H218="","",IF(G218="역방향",8-H218,H218))</x:f>
      </x:c>
      <x:c r="J218" s="32"/>
      <x:c r="K218" s="32"/>
      <x:c r="L218" s="32"/>
      <x:c r="M218" s="32"/>
    </x:row>
    <x:row r="219">
      <x:c r="A219" s="32"/>
      <x:c r="B219"/>
      <x:c r="C219"/>
      <x:c r="D219"/>
      <x:c r="E219" s="20"/>
      <x:c r="F219"/>
      <x:c r="G219"/>
      <x:c r="H219" s="34"/>
      <x:c r="I219" s="34" t="str">
        <x:f>IF(H219="","",IF(G219="역방향",8-H219,H219))</x:f>
      </x:c>
      <x:c r="J219" s="32"/>
      <x:c r="K219" s="32"/>
      <x:c r="L219" s="32"/>
      <x:c r="M219" s="32"/>
    </x:row>
    <x:row r="220">
      <x:c r="A220" s="32"/>
      <x:c r="B220"/>
      <x:c r="C220"/>
      <x:c r="D220"/>
      <x:c r="E220" s="20"/>
      <x:c r="F220"/>
      <x:c r="G220"/>
      <x:c r="H220" s="34"/>
      <x:c r="I220" s="34" t="str">
        <x:f>IF(H220="","",IF(G220="역방향",8-H220,H220))</x:f>
      </x:c>
      <x:c r="J220" s="32"/>
      <x:c r="K220" s="32"/>
      <x:c r="L220" s="32"/>
      <x:c r="M220" s="32"/>
    </x:row>
    <x:row r="221">
      <x:c r="A221" s="32"/>
      <x:c r="B221"/>
      <x:c r="C221"/>
      <x:c r="D221"/>
      <x:c r="E221" s="20"/>
      <x:c r="F221"/>
      <x:c r="G221"/>
      <x:c r="H221" s="34"/>
      <x:c r="I221" s="34" t="str">
        <x:f>IF(H221="","",IF(G221="역방향",8-H221,H221))</x:f>
      </x:c>
      <x:c r="J221" s="32"/>
      <x:c r="K221" s="32"/>
      <x:c r="L221" s="32"/>
      <x:c r="M221" s="32"/>
    </x:row>
    <x:row r="222">
      <x:c r="A222" s="32"/>
      <x:c r="B222"/>
      <x:c r="C222"/>
      <x:c r="D222"/>
      <x:c r="E222" s="20"/>
      <x:c r="F222"/>
      <x:c r="G222"/>
      <x:c r="H222" s="34"/>
      <x:c r="I222" s="34" t="str">
        <x:f>IF(H222="","",IF(G222="역방향",8-H222,H222))</x:f>
      </x:c>
      <x:c r="J222" s="32"/>
      <x:c r="K222" s="32"/>
      <x:c r="L222" s="32"/>
      <x:c r="M222" s="32"/>
    </x:row>
    <x:row r="223">
      <x:c r="A223" s="32"/>
      <x:c r="B223"/>
      <x:c r="C223"/>
      <x:c r="D223"/>
      <x:c r="E223" s="20"/>
      <x:c r="F223"/>
      <x:c r="G223"/>
      <x:c r="H223" s="34"/>
      <x:c r="I223" s="34" t="str">
        <x:f>IF(H223="","",IF(G223="역방향",8-H223,H223))</x:f>
      </x:c>
      <x:c r="J223" s="32"/>
      <x:c r="K223" s="32"/>
      <x:c r="L223" s="32"/>
      <x:c r="M223" s="32"/>
    </x:row>
    <x:row r="224">
      <x:c r="A224" s="32"/>
      <x:c r="B224"/>
      <x:c r="C224"/>
      <x:c r="D224"/>
      <x:c r="E224" s="20"/>
      <x:c r="F224"/>
      <x:c r="G224"/>
      <x:c r="H224" s="34"/>
      <x:c r="I224" s="34" t="str">
        <x:f>IF(H224="","",IF(G224="역방향",8-H224,H224))</x:f>
      </x:c>
      <x:c r="J224" s="32"/>
      <x:c r="K224" s="32"/>
      <x:c r="L224" s="32"/>
      <x:c r="M224" s="32"/>
    </x:row>
    <x:row r="225">
      <x:c r="A225" s="32"/>
      <x:c r="B225"/>
      <x:c r="C225"/>
      <x:c r="D225"/>
      <x:c r="E225" s="20"/>
      <x:c r="F225"/>
      <x:c r="G225"/>
      <x:c r="H225" s="34"/>
      <x:c r="I225" s="34" t="str">
        <x:f>IF(H225="","",IF(G225="역방향",8-H225,H225))</x:f>
      </x:c>
      <x:c r="J225" s="32"/>
      <x:c r="K225" s="32"/>
      <x:c r="L225" s="32"/>
      <x:c r="M225" s="32"/>
    </x:row>
    <x:row r="226">
      <x:c r="A226" s="32"/>
      <x:c r="B226"/>
      <x:c r="C226"/>
      <x:c r="D226"/>
      <x:c r="E226" s="20"/>
      <x:c r="F226"/>
      <x:c r="G226"/>
      <x:c r="H226" s="34"/>
      <x:c r="I226" s="34" t="str">
        <x:f>IF(H226="","",IF(G226="역방향",8-H226,H226))</x:f>
      </x:c>
      <x:c r="J226" s="32"/>
      <x:c r="K226" s="32"/>
      <x:c r="L226" s="32"/>
      <x:c r="M226" s="32"/>
    </x:row>
    <x:row r="227">
      <x:c r="A227" s="32"/>
      <x:c r="B227"/>
      <x:c r="C227"/>
      <x:c r="D227"/>
      <x:c r="E227" s="20"/>
      <x:c r="F227"/>
      <x:c r="G227"/>
      <x:c r="H227" s="34"/>
      <x:c r="I227" s="34" t="str">
        <x:f>IF(H227="","",IF(G227="역방향",8-H227,H227))</x:f>
      </x:c>
      <x:c r="J227" s="32"/>
      <x:c r="K227" s="32"/>
      <x:c r="L227" s="32"/>
      <x:c r="M227" s="32"/>
    </x:row>
    <x:row r="228">
      <x:c r="A228" s="32"/>
      <x:c r="B228"/>
      <x:c r="C228"/>
      <x:c r="D228"/>
      <x:c r="E228" s="20"/>
      <x:c r="F228"/>
      <x:c r="G228"/>
      <x:c r="H228" s="34"/>
      <x:c r="I228" s="34" t="str">
        <x:f>IF(H228="","",IF(G228="역방향",8-H228,H228))</x:f>
      </x:c>
      <x:c r="J228" s="32"/>
      <x:c r="K228" s="32"/>
      <x:c r="L228" s="32"/>
      <x:c r="M228" s="32"/>
    </x:row>
    <x:row r="229">
      <x:c r="A229" s="32"/>
      <x:c r="B229"/>
      <x:c r="C229"/>
      <x:c r="D229"/>
      <x:c r="E229" s="20"/>
      <x:c r="F229"/>
      <x:c r="G229"/>
      <x:c r="H229" s="34"/>
      <x:c r="I229" s="34" t="str">
        <x:f>IF(H229="","",IF(G229="역방향",8-H229,H229))</x:f>
      </x:c>
      <x:c r="J229" s="32"/>
      <x:c r="K229" s="32"/>
      <x:c r="L229" s="32"/>
      <x:c r="M229" s="32"/>
    </x:row>
    <x:row r="230">
      <x:c r="A230" s="32"/>
      <x:c r="B230"/>
      <x:c r="C230"/>
      <x:c r="D230"/>
      <x:c r="E230" s="20"/>
      <x:c r="F230"/>
      <x:c r="G230"/>
      <x:c r="H230" s="34"/>
      <x:c r="I230" s="34" t="str">
        <x:f>IF(H230="","",IF(G230="역방향",8-H230,H230))</x:f>
      </x:c>
      <x:c r="J230" s="32"/>
      <x:c r="K230" s="32"/>
      <x:c r="L230" s="32"/>
      <x:c r="M230" s="32"/>
    </x:row>
    <x:row r="231">
      <x:c r="A231" s="32"/>
      <x:c r="B231"/>
      <x:c r="C231"/>
      <x:c r="D231"/>
      <x:c r="E231" s="20"/>
      <x:c r="F231"/>
      <x:c r="G231"/>
      <x:c r="H231" s="34"/>
      <x:c r="I231" s="34" t="str">
        <x:f>IF(H231="","",IF(G231="역방향",8-H231,H231))</x:f>
      </x:c>
      <x:c r="J231" s="32"/>
      <x:c r="K231" s="32"/>
      <x:c r="L231" s="32"/>
      <x:c r="M231" s="32"/>
    </x:row>
    <x:row r="232">
      <x:c r="A232" s="32"/>
      <x:c r="B232"/>
      <x:c r="C232"/>
      <x:c r="D232"/>
      <x:c r="E232" s="20"/>
      <x:c r="F232"/>
      <x:c r="G232"/>
      <x:c r="H232" s="34"/>
      <x:c r="I232" s="34" t="str">
        <x:f>IF(H232="","",IF(G232="역방향",8-H232,H232))</x:f>
      </x:c>
      <x:c r="J232" s="32"/>
      <x:c r="K232" s="32"/>
      <x:c r="L232" s="32"/>
      <x:c r="M232" s="32"/>
    </x:row>
    <x:row r="233">
      <x:c r="A233" s="32"/>
      <x:c r="B233"/>
      <x:c r="C233"/>
      <x:c r="D233"/>
      <x:c r="E233" s="20"/>
      <x:c r="F233"/>
      <x:c r="G233"/>
      <x:c r="H233" s="34"/>
      <x:c r="I233" s="34" t="str">
        <x:f>IF(H233="","",IF(G233="역방향",8-H233,H233))</x:f>
      </x:c>
      <x:c r="J233" s="32"/>
      <x:c r="K233" s="32"/>
      <x:c r="L233" s="32"/>
      <x:c r="M233" s="32"/>
    </x:row>
    <x:row r="234">
      <x:c r="A234" s="32"/>
      <x:c r="B234"/>
      <x:c r="C234"/>
      <x:c r="D234"/>
      <x:c r="E234" s="20"/>
      <x:c r="F234"/>
      <x:c r="G234"/>
      <x:c r="H234" s="34"/>
      <x:c r="I234" s="34" t="str">
        <x:f>IF(H234="","",IF(G234="역방향",8-H234,H234))</x:f>
      </x:c>
      <x:c r="J234" s="32"/>
      <x:c r="K234" s="32"/>
      <x:c r="L234" s="32"/>
      <x:c r="M234" s="32"/>
    </x:row>
    <x:row r="235">
      <x:c r="A235" s="32"/>
      <x:c r="B235"/>
      <x:c r="C235"/>
      <x:c r="D235"/>
      <x:c r="E235" s="20"/>
      <x:c r="F235"/>
      <x:c r="G235"/>
      <x:c r="H235" s="34"/>
      <x:c r="I235" s="34" t="str">
        <x:f>IF(H235="","",IF(G235="역방향",8-H235,H235))</x:f>
      </x:c>
      <x:c r="J235" s="32"/>
      <x:c r="K235" s="32"/>
      <x:c r="L235" s="32"/>
      <x:c r="M235" s="32"/>
    </x:row>
    <x:row r="236">
      <x:c r="A236" s="32"/>
      <x:c r="B236"/>
      <x:c r="C236"/>
      <x:c r="D236"/>
      <x:c r="E236" s="20"/>
      <x:c r="F236"/>
      <x:c r="G236"/>
      <x:c r="H236" s="34"/>
      <x:c r="I236" s="34" t="str">
        <x:f>IF(H236="","",IF(G236="역방향",8-H236,H236))</x:f>
      </x:c>
      <x:c r="J236" s="32"/>
      <x:c r="K236" s="32"/>
      <x:c r="L236" s="32"/>
      <x:c r="M236" s="32"/>
    </x:row>
    <x:row r="237">
      <x:c r="A237" s="32"/>
      <x:c r="B237"/>
      <x:c r="C237"/>
      <x:c r="D237"/>
      <x:c r="E237" s="20"/>
      <x:c r="F237"/>
      <x:c r="G237"/>
      <x:c r="H237" s="34"/>
      <x:c r="I237" s="34" t="str">
        <x:f>IF(H237="","",IF(G237="역방향",8-H237,H237))</x:f>
      </x:c>
      <x:c r="J237" s="32"/>
      <x:c r="K237" s="32"/>
      <x:c r="L237" s="32"/>
      <x:c r="M237" s="32"/>
    </x:row>
    <x:row r="238">
      <x:c r="A238" s="32"/>
      <x:c r="B238"/>
      <x:c r="C238"/>
      <x:c r="D238"/>
      <x:c r="E238" s="20"/>
      <x:c r="F238"/>
      <x:c r="G238"/>
      <x:c r="H238" s="34"/>
      <x:c r="I238" s="34" t="str">
        <x:f>IF(H238="","",IF(G238="역방향",8-H238,H238))</x:f>
      </x:c>
      <x:c r="J238" s="32"/>
      <x:c r="K238" s="32"/>
      <x:c r="L238" s="32"/>
      <x:c r="M238" s="32"/>
    </x:row>
    <x:row r="239">
      <x:c r="A239" s="32"/>
      <x:c r="B239"/>
      <x:c r="C239"/>
      <x:c r="D239"/>
      <x:c r="E239" s="20"/>
      <x:c r="F239"/>
      <x:c r="G239"/>
      <x:c r="H239" s="34"/>
      <x:c r="I239" s="34" t="str">
        <x:f>IF(H239="","",IF(G239="역방향",8-H239,H239))</x:f>
      </x:c>
      <x:c r="J239" s="32"/>
      <x:c r="K239" s="32"/>
      <x:c r="L239" s="32"/>
      <x:c r="M239" s="32"/>
    </x:row>
    <x:row r="240">
      <x:c r="A240" s="32"/>
      <x:c r="B240"/>
      <x:c r="C240"/>
      <x:c r="D240"/>
      <x:c r="E240" s="20"/>
      <x:c r="F240"/>
      <x:c r="G240"/>
      <x:c r="H240" s="34"/>
      <x:c r="I240" s="34" t="str">
        <x:f>IF(H240="","",IF(G240="역방향",8-H240,H240))</x:f>
      </x:c>
      <x:c r="J240" s="32"/>
      <x:c r="K240" s="32"/>
      <x:c r="L240" s="32"/>
      <x:c r="M240" s="32"/>
    </x:row>
    <x:row r="241">
      <x:c r="A241" s="32"/>
      <x:c r="B241"/>
      <x:c r="C241"/>
      <x:c r="D241"/>
      <x:c r="E241" s="20"/>
      <x:c r="F241"/>
      <x:c r="G241"/>
      <x:c r="H241" s="34"/>
      <x:c r="I241" s="34" t="str">
        <x:f>IF(H241="","",IF(G241="역방향",8-H241,H241))</x:f>
      </x:c>
      <x:c r="J241" s="32"/>
      <x:c r="K241" s="32"/>
      <x:c r="L241" s="32"/>
      <x:c r="M241" s="32"/>
    </x:row>
    <x:row r="242">
      <x:c r="A242" s="32"/>
      <x:c r="B242"/>
      <x:c r="C242"/>
      <x:c r="D242"/>
      <x:c r="E242" s="20"/>
      <x:c r="F242"/>
      <x:c r="G242"/>
      <x:c r="H242" s="34"/>
      <x:c r="I242" s="34" t="str">
        <x:f>IF(H242="","",IF(G242="역방향",8-H242,H242))</x:f>
      </x:c>
      <x:c r="J242" s="32"/>
      <x:c r="K242" s="32"/>
      <x:c r="L242" s="32"/>
      <x:c r="M242" s="32"/>
    </x:row>
    <x:row r="243">
      <x:c r="A243" s="32"/>
      <x:c r="B243"/>
      <x:c r="C243"/>
      <x:c r="D243"/>
      <x:c r="E243" s="20"/>
      <x:c r="F243"/>
      <x:c r="G243"/>
      <x:c r="H243" s="34"/>
      <x:c r="I243" s="34" t="str">
        <x:f>IF(H243="","",IF(G243="역방향",8-H243,H243))</x:f>
      </x:c>
      <x:c r="J243" s="32"/>
      <x:c r="K243" s="32"/>
      <x:c r="L243" s="32"/>
      <x:c r="M243" s="32"/>
    </x:row>
    <x:row r="244">
      <x:c r="A244" s="32"/>
      <x:c r="B244"/>
      <x:c r="C244"/>
      <x:c r="D244"/>
      <x:c r="E244" s="20"/>
      <x:c r="F244"/>
      <x:c r="G244"/>
      <x:c r="H244" s="34"/>
      <x:c r="I244" s="34" t="str">
        <x:f>IF(H244="","",IF(G244="역방향",8-H244,H244))</x:f>
      </x:c>
      <x:c r="J244" s="32"/>
      <x:c r="K244" s="32"/>
      <x:c r="L244" s="32"/>
      <x:c r="M244" s="32"/>
    </x:row>
    <x:row r="245">
      <x:c r="A245" s="32"/>
      <x:c r="B245"/>
      <x:c r="C245"/>
      <x:c r="D245"/>
      <x:c r="E245" s="20"/>
      <x:c r="F245"/>
      <x:c r="G245"/>
      <x:c r="H245" s="34"/>
      <x:c r="I245" s="34" t="str">
        <x:f>IF(H245="","",IF(G245="역방향",8-H245,H245))</x:f>
      </x:c>
      <x:c r="J245" s="32"/>
      <x:c r="K245" s="32"/>
      <x:c r="L245" s="32"/>
      <x:c r="M245" s="32"/>
    </x:row>
    <x:row r="246">
      <x:c r="A246" s="32"/>
      <x:c r="B246"/>
      <x:c r="C246"/>
      <x:c r="D246"/>
      <x:c r="E246" s="20"/>
      <x:c r="F246"/>
      <x:c r="G246"/>
      <x:c r="H246" s="34"/>
      <x:c r="I246" s="34" t="str">
        <x:f>IF(H246="","",IF(G246="역방향",8-H246,H246))</x:f>
      </x:c>
      <x:c r="J246" s="32"/>
      <x:c r="K246" s="32"/>
      <x:c r="L246" s="32"/>
      <x:c r="M246" s="32"/>
    </x:row>
    <x:row r="247">
      <x:c r="A247" s="32"/>
      <x:c r="B247"/>
      <x:c r="C247"/>
      <x:c r="D247"/>
      <x:c r="E247" s="20"/>
      <x:c r="F247"/>
      <x:c r="G247"/>
      <x:c r="H247" s="34"/>
      <x:c r="I247" s="34" t="str">
        <x:f>IF(H247="","",IF(G247="역방향",8-H247,H247))</x:f>
      </x:c>
      <x:c r="J247" s="32"/>
      <x:c r="K247" s="32"/>
      <x:c r="L247" s="32"/>
      <x:c r="M247" s="32"/>
    </x:row>
    <x:row r="248">
      <x:c r="A248" s="32"/>
      <x:c r="B248"/>
      <x:c r="C248"/>
      <x:c r="D248"/>
      <x:c r="E248" s="20"/>
      <x:c r="F248"/>
      <x:c r="G248"/>
      <x:c r="H248" s="34"/>
      <x:c r="I248" s="34" t="str">
        <x:f>IF(H248="","",IF(G248="역방향",8-H248,H248))</x:f>
      </x:c>
      <x:c r="J248" s="32"/>
      <x:c r="K248" s="32"/>
      <x:c r="L248" s="32"/>
      <x:c r="M248" s="32"/>
    </x:row>
    <x:row r="249">
      <x:c r="A249" s="32"/>
      <x:c r="B249"/>
      <x:c r="C249"/>
      <x:c r="D249"/>
      <x:c r="E249" s="20"/>
      <x:c r="F249"/>
      <x:c r="G249"/>
      <x:c r="H249" s="34"/>
      <x:c r="I249" s="34" t="str">
        <x:f>IF(H249="","",IF(G249="역방향",8-H249,H249))</x:f>
      </x:c>
      <x:c r="J249" s="32"/>
      <x:c r="K249" s="32"/>
      <x:c r="L249" s="32"/>
      <x:c r="M249" s="32"/>
    </x:row>
    <x:row r="250">
      <x:c r="A250" s="32"/>
      <x:c r="B250"/>
      <x:c r="C250"/>
      <x:c r="D250"/>
      <x:c r="E250" s="20"/>
      <x:c r="F250"/>
      <x:c r="G250"/>
      <x:c r="H250" s="34"/>
      <x:c r="I250" s="34" t="str">
        <x:f>IF(H250="","",IF(G250="역방향",8-H250,H250))</x:f>
      </x:c>
      <x:c r="J250" s="32"/>
      <x:c r="K250" s="32"/>
      <x:c r="L250" s="32"/>
      <x:c r="M250" s="32"/>
    </x:row>
    <x:row r="251">
      <x:c r="A251" s="32"/>
      <x:c r="B251"/>
      <x:c r="C251"/>
      <x:c r="D251"/>
      <x:c r="E251" s="20"/>
      <x:c r="F251"/>
      <x:c r="G251"/>
      <x:c r="H251" s="34"/>
      <x:c r="I251" s="34" t="str">
        <x:f>IF(H251="","",IF(G251="역방향",8-H251,H251))</x:f>
      </x:c>
      <x:c r="J251" s="32"/>
      <x:c r="K251" s="32"/>
      <x:c r="L251" s="32"/>
      <x:c r="M251" s="32"/>
    </x:row>
    <x:row r="252">
      <x:c r="A252" s="32"/>
      <x:c r="B252"/>
      <x:c r="C252"/>
      <x:c r="D252"/>
      <x:c r="E252" s="20"/>
      <x:c r="F252"/>
      <x:c r="G252"/>
      <x:c r="H252" s="34"/>
      <x:c r="I252" s="34" t="str">
        <x:f>IF(H252="","",IF(G252="역방향",8-H252,H252))</x:f>
      </x:c>
      <x:c r="J252" s="32"/>
      <x:c r="K252" s="32"/>
      <x:c r="L252" s="32"/>
      <x:c r="M252" s="32"/>
    </x:row>
    <x:row r="253">
      <x:c r="A253" s="32"/>
      <x:c r="B253"/>
      <x:c r="C253"/>
      <x:c r="D253"/>
      <x:c r="E253" s="20"/>
      <x:c r="F253"/>
      <x:c r="G253"/>
      <x:c r="H253" s="34"/>
      <x:c r="I253" s="34" t="str">
        <x:f>IF(H253="","",IF(G253="역방향",8-H253,H253))</x:f>
      </x:c>
      <x:c r="J253" s="32"/>
      <x:c r="K253" s="32"/>
      <x:c r="L253" s="32"/>
      <x:c r="M253" s="32"/>
    </x:row>
    <x:row r="254">
      <x:c r="A254" s="32"/>
      <x:c r="B254"/>
      <x:c r="C254"/>
      <x:c r="D254"/>
      <x:c r="E254" s="20"/>
      <x:c r="F254"/>
      <x:c r="G254"/>
      <x:c r="H254" s="34"/>
      <x:c r="I254" s="34" t="str">
        <x:f>IF(H254="","",IF(G254="역방향",8-H254,H254))</x:f>
      </x:c>
      <x:c r="J254" s="32"/>
      <x:c r="K254" s="32"/>
      <x:c r="L254" s="32"/>
      <x:c r="M254" s="32"/>
    </x:row>
    <x:row r="255">
      <x:c r="A255" s="32"/>
      <x:c r="B255"/>
      <x:c r="C255"/>
      <x:c r="D255"/>
      <x:c r="E255" s="20"/>
      <x:c r="F255"/>
      <x:c r="G255"/>
      <x:c r="H255" s="34"/>
      <x:c r="I255" s="34" t="str">
        <x:f>IF(H255="","",IF(G255="역방향",8-H255,H255))</x:f>
      </x:c>
      <x:c r="J255" s="32"/>
      <x:c r="K255" s="32"/>
      <x:c r="L255" s="32"/>
      <x:c r="M255" s="32"/>
    </x:row>
    <x:row r="256">
      <x:c r="A256" s="32"/>
      <x:c r="B256"/>
      <x:c r="C256"/>
      <x:c r="D256"/>
      <x:c r="E256" s="20"/>
      <x:c r="F256"/>
      <x:c r="G256"/>
      <x:c r="H256" s="34"/>
      <x:c r="I256" s="34" t="str">
        <x:f>IF(H256="","",IF(G256="역방향",8-H256,H256))</x:f>
      </x:c>
      <x:c r="J256" s="32"/>
      <x:c r="K256" s="32"/>
      <x:c r="L256" s="32"/>
      <x:c r="M256" s="32"/>
    </x:row>
    <x:row r="257">
      <x:c r="A257" s="32"/>
      <x:c r="B257"/>
      <x:c r="C257"/>
      <x:c r="D257"/>
      <x:c r="E257" s="20"/>
      <x:c r="F257"/>
      <x:c r="G257"/>
      <x:c r="H257" s="34"/>
      <x:c r="I257" s="34" t="str">
        <x:f>IF(H257="","",IF(G257="역방향",8-H257,H257))</x:f>
      </x:c>
      <x:c r="J257" s="32"/>
      <x:c r="K257" s="32"/>
      <x:c r="L257" s="32"/>
      <x:c r="M257" s="32"/>
    </x:row>
    <x:row r="258">
      <x:c r="A258" s="32"/>
      <x:c r="B258"/>
      <x:c r="C258"/>
      <x:c r="D258"/>
      <x:c r="E258" s="20"/>
      <x:c r="F258"/>
      <x:c r="G258"/>
      <x:c r="H258" s="34"/>
      <x:c r="I258" s="34" t="str">
        <x:f>IF(H258="","",IF(G258="역방향",8-H258,H258))</x:f>
      </x:c>
      <x:c r="J258" s="32"/>
      <x:c r="K258" s="32"/>
      <x:c r="L258" s="32"/>
      <x:c r="M258" s="32"/>
    </x:row>
    <x:row r="259">
      <x:c r="A259" s="32"/>
      <x:c r="B259"/>
      <x:c r="C259"/>
      <x:c r="D259"/>
      <x:c r="E259" s="20"/>
      <x:c r="F259"/>
      <x:c r="G259"/>
      <x:c r="H259" s="34"/>
      <x:c r="I259" s="34" t="str">
        <x:f>IF(H259="","",IF(G259="역방향",8-H259,H259))</x:f>
      </x:c>
      <x:c r="J259" s="32"/>
      <x:c r="K259" s="32"/>
      <x:c r="L259" s="32"/>
      <x:c r="M259" s="32"/>
    </x:row>
    <x:row r="260">
      <x:c r="A260" s="32"/>
      <x:c r="B260"/>
      <x:c r="C260"/>
      <x:c r="D260"/>
      <x:c r="E260" s="20"/>
      <x:c r="F260"/>
      <x:c r="G260"/>
      <x:c r="H260" s="34"/>
      <x:c r="I260" s="34" t="str">
        <x:f>IF(H260="","",IF(G260="역방향",8-H260,H260))</x:f>
      </x:c>
      <x:c r="J260" s="32"/>
      <x:c r="K260" s="32"/>
      <x:c r="L260" s="32"/>
      <x:c r="M260" s="32"/>
    </x:row>
    <x:row r="261">
      <x:c r="A261" s="32"/>
      <x:c r="B261"/>
      <x:c r="C261"/>
      <x:c r="D261"/>
      <x:c r="E261" s="20"/>
      <x:c r="F261"/>
      <x:c r="G261"/>
      <x:c r="H261" s="34"/>
      <x:c r="I261" s="34" t="str">
        <x:f>IF(H261="","",IF(G261="역방향",8-H261,H261))</x:f>
      </x:c>
      <x:c r="J261" s="32"/>
      <x:c r="K261" s="32"/>
      <x:c r="L261" s="32"/>
      <x:c r="M261" s="32"/>
    </x:row>
    <x:row r="262">
      <x:c r="A262" s="32"/>
      <x:c r="B262"/>
      <x:c r="C262"/>
      <x:c r="D262"/>
      <x:c r="E262" s="20"/>
      <x:c r="F262"/>
      <x:c r="G262"/>
      <x:c r="H262" s="34"/>
      <x:c r="I262" s="34" t="str">
        <x:f>IF(H262="","",IF(G262="역방향",8-H262,H262))</x:f>
      </x:c>
      <x:c r="J262" s="32"/>
      <x:c r="K262" s="32"/>
      <x:c r="L262" s="32"/>
      <x:c r="M262" s="32"/>
    </x:row>
    <x:row r="263">
      <x:c r="A263" s="32"/>
      <x:c r="B263"/>
      <x:c r="C263"/>
      <x:c r="D263"/>
      <x:c r="E263" s="20"/>
      <x:c r="F263"/>
      <x:c r="G263"/>
      <x:c r="H263" s="34"/>
      <x:c r="I263" s="34" t="str">
        <x:f>IF(H263="","",IF(G263="역방향",8-H263,H263))</x:f>
      </x:c>
      <x:c r="J263" s="32"/>
      <x:c r="K263" s="32"/>
      <x:c r="L263" s="32"/>
      <x:c r="M263" s="32"/>
    </x:row>
    <x:row r="264">
      <x:c r="A264" s="32"/>
      <x:c r="B264"/>
      <x:c r="C264"/>
      <x:c r="D264"/>
      <x:c r="E264" s="20"/>
      <x:c r="F264"/>
      <x:c r="G264"/>
      <x:c r="H264" s="34"/>
      <x:c r="I264" s="34" t="str">
        <x:f>IF(H264="","",IF(G264="역방향",8-H264,H264))</x:f>
      </x:c>
      <x:c r="J264" s="32"/>
      <x:c r="K264" s="32"/>
      <x:c r="L264" s="32"/>
      <x:c r="M264" s="32"/>
    </x:row>
    <x:row r="265">
      <x:c r="A265" s="32"/>
      <x:c r="B265"/>
      <x:c r="C265"/>
      <x:c r="D265"/>
      <x:c r="E265" s="20"/>
      <x:c r="F265"/>
      <x:c r="G265"/>
      <x:c r="H265" s="34"/>
      <x:c r="I265" s="34" t="str">
        <x:f>IF(H265="","",IF(G265="역방향",8-H265,H265))</x:f>
      </x:c>
      <x:c r="J265" s="32"/>
      <x:c r="K265" s="32"/>
      <x:c r="L265" s="32"/>
      <x:c r="M265" s="32"/>
    </x:row>
    <x:row r="266">
      <x:c r="A266" s="32"/>
      <x:c r="B266"/>
      <x:c r="C266"/>
      <x:c r="D266"/>
      <x:c r="E266" s="20"/>
      <x:c r="F266"/>
      <x:c r="G266"/>
      <x:c r="H266" s="34"/>
      <x:c r="I266" s="34" t="str">
        <x:f>IF(H266="","",IF(G266="역방향",8-H266,H266))</x:f>
      </x:c>
      <x:c r="J266" s="32"/>
      <x:c r="K266" s="32"/>
      <x:c r="L266" s="32"/>
      <x:c r="M266" s="32"/>
    </x:row>
    <x:row r="267">
      <x:c r="A267" s="32"/>
      <x:c r="B267"/>
      <x:c r="C267"/>
      <x:c r="D267"/>
      <x:c r="E267" s="20"/>
      <x:c r="F267"/>
      <x:c r="G267"/>
      <x:c r="H267" s="34"/>
      <x:c r="I267" s="34" t="str">
        <x:f>IF(H267="","",IF(G267="역방향",8-H267,H267))</x:f>
      </x:c>
      <x:c r="J267" s="32"/>
      <x:c r="K267" s="32"/>
      <x:c r="L267" s="32"/>
      <x:c r="M267" s="32"/>
    </x:row>
    <x:row r="268">
      <x:c r="A268" s="32"/>
      <x:c r="B268"/>
      <x:c r="C268"/>
      <x:c r="D268"/>
      <x:c r="E268" s="20"/>
      <x:c r="F268"/>
      <x:c r="G268"/>
      <x:c r="H268" s="34"/>
      <x:c r="I268" s="34" t="str">
        <x:f>IF(H268="","",IF(G268="역방향",8-H268,H268))</x:f>
      </x:c>
      <x:c r="J268" s="32"/>
      <x:c r="K268" s="32"/>
      <x:c r="L268" s="32"/>
      <x:c r="M268" s="32"/>
    </x:row>
    <x:row r="269">
      <x:c r="A269" s="32"/>
      <x:c r="B269"/>
      <x:c r="C269"/>
      <x:c r="D269"/>
      <x:c r="E269" s="20"/>
      <x:c r="F269"/>
      <x:c r="G269"/>
      <x:c r="H269" s="34"/>
      <x:c r="I269" s="34" t="str">
        <x:f>IF(H269="","",IF(G269="역방향",8-H269,H269))</x:f>
      </x:c>
      <x:c r="J269" s="32"/>
      <x:c r="K269" s="32"/>
      <x:c r="L269" s="32"/>
      <x:c r="M269" s="32"/>
    </x:row>
    <x:row r="270">
      <x:c r="A270" s="32"/>
      <x:c r="B270"/>
      <x:c r="C270"/>
      <x:c r="D270"/>
      <x:c r="E270" s="20"/>
      <x:c r="F270"/>
      <x:c r="G270"/>
      <x:c r="H270" s="34"/>
      <x:c r="I270" s="34" t="str">
        <x:f>IF(H270="","",IF(G270="역방향",8-H270,H270))</x:f>
      </x:c>
      <x:c r="J270" s="32"/>
      <x:c r="K270" s="32"/>
      <x:c r="L270" s="32"/>
      <x:c r="M270" s="32"/>
    </x:row>
    <x:row r="271">
      <x:c r="A271" s="32"/>
      <x:c r="B271"/>
      <x:c r="C271"/>
      <x:c r="D271"/>
      <x:c r="E271" s="20"/>
      <x:c r="F271"/>
      <x:c r="G271"/>
      <x:c r="H271" s="34"/>
      <x:c r="I271" s="34" t="str">
        <x:f>IF(H271="","",IF(G271="역방향",8-H271,H271))</x:f>
      </x:c>
      <x:c r="J271" s="32"/>
      <x:c r="K271" s="32"/>
      <x:c r="L271" s="32"/>
      <x:c r="M271" s="32"/>
    </x:row>
    <x:row r="272">
      <x:c r="A272" s="32"/>
      <x:c r="B272"/>
      <x:c r="C272"/>
      <x:c r="D272"/>
      <x:c r="E272" s="20"/>
      <x:c r="F272"/>
      <x:c r="G272"/>
      <x:c r="H272" s="34"/>
      <x:c r="I272" s="34" t="str">
        <x:f>IF(H272="","",IF(G272="역방향",8-H272,H272))</x:f>
      </x:c>
      <x:c r="J272" s="32"/>
      <x:c r="K272" s="32"/>
      <x:c r="L272" s="32"/>
      <x:c r="M272" s="32"/>
    </x:row>
    <x:row r="273">
      <x:c r="A273" s="32"/>
      <x:c r="B273"/>
      <x:c r="C273"/>
      <x:c r="D273"/>
      <x:c r="E273" s="20"/>
      <x:c r="F273"/>
      <x:c r="G273"/>
      <x:c r="H273" s="34"/>
      <x:c r="I273" s="34" t="str">
        <x:f>IF(H273="","",IF(G273="역방향",8-H273,H273))</x:f>
      </x:c>
      <x:c r="J273" s="32"/>
      <x:c r="K273" s="32"/>
      <x:c r="L273" s="32"/>
      <x:c r="M273" s="32"/>
    </x:row>
    <x:row r="274">
      <x:c r="A274" s="32"/>
      <x:c r="B274"/>
      <x:c r="C274"/>
      <x:c r="D274"/>
      <x:c r="E274" s="20"/>
      <x:c r="F274"/>
      <x:c r="G274"/>
      <x:c r="H274" s="34"/>
      <x:c r="I274" s="34" t="str">
        <x:f>IF(H274="","",IF(G274="역방향",8-H274,H274))</x:f>
      </x:c>
      <x:c r="J274" s="32"/>
      <x:c r="K274" s="32"/>
      <x:c r="L274" s="32"/>
      <x:c r="M274" s="32"/>
    </x:row>
    <x:row r="275">
      <x:c r="A275" s="32"/>
      <x:c r="B275"/>
      <x:c r="C275"/>
      <x:c r="D275"/>
      <x:c r="E275" s="20"/>
      <x:c r="F275"/>
      <x:c r="G275"/>
      <x:c r="H275" s="34"/>
      <x:c r="I275" s="34" t="str">
        <x:f>IF(H275="","",IF(G275="역방향",8-H275,H275))</x:f>
      </x:c>
      <x:c r="J275" s="32"/>
      <x:c r="K275" s="32"/>
      <x:c r="L275" s="32"/>
      <x:c r="M275" s="32"/>
    </x:row>
    <x:row r="276">
      <x:c r="A276" s="32"/>
      <x:c r="B276"/>
      <x:c r="C276"/>
      <x:c r="D276"/>
      <x:c r="E276" s="20"/>
      <x:c r="F276"/>
      <x:c r="G276"/>
      <x:c r="H276" s="34"/>
      <x:c r="I276" s="34" t="str">
        <x:f>IF(H276="","",IF(G276="역방향",8-H276,H276))</x:f>
      </x:c>
      <x:c r="J276" s="32"/>
      <x:c r="K276" s="32"/>
      <x:c r="L276" s="32"/>
      <x:c r="M276" s="32"/>
    </x:row>
    <x:row r="277">
      <x:c r="A277" s="32"/>
      <x:c r="B277"/>
      <x:c r="C277"/>
      <x:c r="D277"/>
      <x:c r="E277" s="20"/>
      <x:c r="F277"/>
      <x:c r="G277"/>
      <x:c r="H277" s="34"/>
      <x:c r="I277" s="34" t="str">
        <x:f>IF(H277="","",IF(G277="역방향",8-H277,H277))</x:f>
      </x:c>
      <x:c r="J277" s="32"/>
      <x:c r="K277" s="32"/>
      <x:c r="L277" s="32"/>
      <x:c r="M277" s="32"/>
    </x:row>
    <x:row r="278">
      <x:c r="A278" s="32"/>
      <x:c r="B278"/>
      <x:c r="C278"/>
      <x:c r="D278"/>
      <x:c r="E278" s="20"/>
      <x:c r="F278"/>
      <x:c r="G278"/>
      <x:c r="H278" s="34"/>
      <x:c r="I278" s="34" t="str">
        <x:f>IF(H278="","",IF(G278="역방향",8-H278,H278))</x:f>
      </x:c>
      <x:c r="J278" s="32"/>
      <x:c r="K278" s="32"/>
      <x:c r="L278" s="32"/>
      <x:c r="M278" s="32"/>
    </x:row>
    <x:row r="279">
      <x:c r="A279" s="32"/>
      <x:c r="B279"/>
      <x:c r="C279"/>
      <x:c r="D279"/>
      <x:c r="E279" s="20"/>
      <x:c r="F279"/>
      <x:c r="G279"/>
      <x:c r="H279" s="34"/>
      <x:c r="I279" s="34" t="str">
        <x:f>IF(H279="","",IF(G279="역방향",8-H279,H279))</x:f>
      </x:c>
      <x:c r="J279" s="32"/>
      <x:c r="K279" s="32"/>
      <x:c r="L279" s="32"/>
      <x:c r="M279" s="32"/>
    </x:row>
    <x:row r="280">
      <x:c r="A280" s="32"/>
      <x:c r="B280"/>
      <x:c r="C280"/>
      <x:c r="D280"/>
      <x:c r="E280" s="20"/>
      <x:c r="F280"/>
      <x:c r="G280"/>
      <x:c r="H280" s="34"/>
      <x:c r="I280" s="34" t="str">
        <x:f>IF(H280="","",IF(G280="역방향",8-H280,H280))</x:f>
      </x:c>
      <x:c r="J280" s="32"/>
      <x:c r="K280" s="32"/>
      <x:c r="L280" s="32"/>
      <x:c r="M280" s="32"/>
    </x:row>
    <x:row r="281">
      <x:c r="A281" s="32"/>
      <x:c r="B281"/>
      <x:c r="C281"/>
      <x:c r="D281"/>
      <x:c r="E281" s="20"/>
      <x:c r="F281"/>
      <x:c r="G281"/>
      <x:c r="H281" s="34"/>
      <x:c r="I281" s="34" t="str">
        <x:f>IF(H281="","",IF(G281="역방향",8-H281,H281))</x:f>
      </x:c>
      <x:c r="J281" s="32"/>
      <x:c r="K281" s="32"/>
      <x:c r="L281" s="32"/>
      <x:c r="M281" s="32"/>
    </x:row>
    <x:row r="282">
      <x:c r="A282" s="32"/>
      <x:c r="B282"/>
      <x:c r="C282"/>
      <x:c r="D282"/>
      <x:c r="E282" s="20"/>
      <x:c r="F282"/>
      <x:c r="G282"/>
      <x:c r="H282" s="34"/>
      <x:c r="I282" s="34" t="str">
        <x:f>IF(H282="","",IF(G282="역방향",8-H282,H282))</x:f>
      </x:c>
      <x:c r="J282" s="32"/>
      <x:c r="K282" s="32"/>
      <x:c r="L282" s="32"/>
      <x:c r="M282" s="32"/>
    </x:row>
    <x:row r="283">
      <x:c r="A283" s="32"/>
      <x:c r="B283"/>
      <x:c r="C283"/>
      <x:c r="D283"/>
      <x:c r="E283" s="20"/>
      <x:c r="F283"/>
      <x:c r="G283"/>
      <x:c r="H283" s="34"/>
      <x:c r="I283" s="34" t="str">
        <x:f>IF(H283="","",IF(G283="역방향",8-H283,H283))</x:f>
      </x:c>
      <x:c r="J283" s="32"/>
      <x:c r="K283" s="32"/>
      <x:c r="L283" s="32"/>
      <x:c r="M283" s="32"/>
    </x:row>
    <x:row r="284">
      <x:c r="A284" s="32"/>
      <x:c r="B284"/>
      <x:c r="C284"/>
      <x:c r="D284"/>
      <x:c r="E284" s="20"/>
      <x:c r="F284"/>
      <x:c r="G284"/>
      <x:c r="H284" s="34"/>
      <x:c r="I284" s="34" t="str">
        <x:f>IF(H284="","",IF(G284="역방향",8-H284,H284))</x:f>
      </x:c>
      <x:c r="J284" s="32"/>
      <x:c r="K284" s="32"/>
      <x:c r="L284" s="32"/>
      <x:c r="M284" s="32"/>
    </x:row>
    <x:row r="285">
      <x:c r="A285" s="32"/>
      <x:c r="B285"/>
      <x:c r="C285"/>
      <x:c r="D285"/>
      <x:c r="E285" s="20"/>
      <x:c r="F285"/>
      <x:c r="G285"/>
      <x:c r="H285" s="34"/>
      <x:c r="I285" s="34" t="str">
        <x:f>IF(H285="","",IF(G285="역방향",8-H285,H285))</x:f>
      </x:c>
      <x:c r="J285" s="32"/>
      <x:c r="K285" s="32"/>
      <x:c r="L285" s="32"/>
      <x:c r="M285" s="32"/>
    </x:row>
    <x:row r="286">
      <x:c r="A286" s="32"/>
      <x:c r="B286"/>
      <x:c r="C286"/>
      <x:c r="D286"/>
      <x:c r="E286" s="20"/>
      <x:c r="F286"/>
      <x:c r="G286"/>
      <x:c r="H286" s="34"/>
      <x:c r="I286" s="34" t="str">
        <x:f>IF(H286="","",IF(G286="역방향",8-H286,H286))</x:f>
      </x:c>
      <x:c r="J286" s="32"/>
      <x:c r="K286" s="32"/>
      <x:c r="L286" s="32"/>
      <x:c r="M286" s="32"/>
    </x:row>
    <x:row r="287">
      <x:c r="A287" s="32"/>
      <x:c r="B287"/>
      <x:c r="C287"/>
      <x:c r="D287"/>
      <x:c r="E287" s="20"/>
      <x:c r="F287"/>
      <x:c r="G287"/>
      <x:c r="H287" s="34"/>
      <x:c r="I287" s="34" t="str">
        <x:f>IF(H287="","",IF(G287="역방향",8-H287,H287))</x:f>
      </x:c>
      <x:c r="J287" s="32"/>
      <x:c r="K287" s="32"/>
      <x:c r="L287" s="32"/>
      <x:c r="M287" s="32"/>
    </x:row>
    <x:row r="288">
      <x:c r="A288" s="32"/>
      <x:c r="B288"/>
      <x:c r="C288"/>
      <x:c r="D288"/>
      <x:c r="E288" s="20"/>
      <x:c r="F288"/>
      <x:c r="G288"/>
      <x:c r="H288" s="34"/>
      <x:c r="I288" s="34" t="str">
        <x:f>IF(H288="","",IF(G288="역방향",8-H288,H288))</x:f>
      </x:c>
      <x:c r="J288" s="32"/>
      <x:c r="K288" s="32"/>
      <x:c r="L288" s="32"/>
      <x:c r="M288" s="32"/>
    </x:row>
    <x:row r="289">
      <x:c r="A289" s="32"/>
      <x:c r="B289"/>
      <x:c r="C289"/>
      <x:c r="D289"/>
      <x:c r="E289" s="20"/>
      <x:c r="F289"/>
      <x:c r="G289"/>
      <x:c r="H289" s="34"/>
      <x:c r="I289" s="34" t="str">
        <x:f>IF(H289="","",IF(G289="역방향",8-H289,H289))</x:f>
      </x:c>
      <x:c r="J289" s="32"/>
      <x:c r="K289" s="32"/>
      <x:c r="L289" s="32"/>
      <x:c r="M289" s="32"/>
    </x:row>
    <x:row r="290">
      <x:c r="A290" s="32"/>
      <x:c r="B290"/>
      <x:c r="C290"/>
      <x:c r="D290"/>
      <x:c r="E290" s="20"/>
      <x:c r="F290"/>
      <x:c r="G290"/>
      <x:c r="H290" s="34"/>
      <x:c r="I290" s="34" t="str">
        <x:f>IF(H290="","",IF(G290="역방향",8-H290,H290))</x:f>
      </x:c>
      <x:c r="J290" s="32"/>
      <x:c r="K290" s="32"/>
      <x:c r="L290" s="32"/>
      <x:c r="M290" s="32"/>
    </x:row>
    <x:row r="291">
      <x:c r="A291" s="32"/>
      <x:c r="B291"/>
      <x:c r="C291"/>
      <x:c r="D291"/>
      <x:c r="E291" s="20"/>
      <x:c r="F291"/>
      <x:c r="G291"/>
      <x:c r="H291" s="34"/>
      <x:c r="I291" s="34" t="str">
        <x:f>IF(H291="","",IF(G291="역방향",8-H291,H291))</x:f>
      </x:c>
      <x:c r="J291" s="32"/>
      <x:c r="K291" s="32"/>
      <x:c r="L291" s="32"/>
      <x:c r="M291" s="32"/>
    </x:row>
    <x:row r="292">
      <x:c r="A292" s="32"/>
      <x:c r="B292"/>
      <x:c r="C292"/>
      <x:c r="D292"/>
      <x:c r="E292" s="20"/>
      <x:c r="F292"/>
      <x:c r="G292"/>
      <x:c r="H292" s="34"/>
      <x:c r="I292" s="34" t="str">
        <x:f>IF(H292="","",IF(G292="역방향",8-H292,H292))</x:f>
      </x:c>
      <x:c r="J292" s="32"/>
      <x:c r="K292" s="32"/>
      <x:c r="L292" s="32"/>
      <x:c r="M292" s="32"/>
    </x:row>
    <x:row r="293">
      <x:c r="A293" s="32"/>
      <x:c r="B293"/>
      <x:c r="C293"/>
      <x:c r="D293"/>
      <x:c r="E293" s="20"/>
      <x:c r="F293"/>
      <x:c r="G293"/>
      <x:c r="H293" s="34"/>
      <x:c r="I293" s="34" t="str">
        <x:f>IF(H293="","",IF(G293="역방향",8-H293,H293))</x:f>
      </x:c>
      <x:c r="J293" s="32"/>
      <x:c r="K293" s="32"/>
      <x:c r="L293" s="32"/>
      <x:c r="M293" s="32"/>
    </x:row>
    <x:row r="294">
      <x:c r="A294" s="32"/>
      <x:c r="B294"/>
      <x:c r="C294"/>
      <x:c r="D294"/>
      <x:c r="E294" s="20"/>
      <x:c r="F294"/>
      <x:c r="G294"/>
      <x:c r="H294" s="34"/>
      <x:c r="I294" s="34" t="str">
        <x:f>IF(H294="","",IF(G294="역방향",8-H294,H294))</x:f>
      </x:c>
      <x:c r="J294" s="32"/>
      <x:c r="K294" s="32"/>
      <x:c r="L294" s="32"/>
      <x:c r="M294" s="32"/>
    </x:row>
    <x:row r="295">
      <x:c r="A295" s="32"/>
      <x:c r="B295"/>
      <x:c r="C295"/>
      <x:c r="D295"/>
      <x:c r="E295" s="20"/>
      <x:c r="F295"/>
      <x:c r="G295"/>
      <x:c r="H295" s="34"/>
      <x:c r="I295" s="34" t="str">
        <x:f>IF(H295="","",IF(G295="역방향",8-H295,H295))</x:f>
      </x:c>
      <x:c r="J295" s="32"/>
      <x:c r="K295" s="32"/>
      <x:c r="L295" s="32"/>
      <x:c r="M295" s="32"/>
    </x:row>
    <x:row r="296">
      <x:c r="A296" s="32"/>
      <x:c r="B296"/>
      <x:c r="C296"/>
      <x:c r="D296"/>
      <x:c r="E296" s="20"/>
      <x:c r="F296"/>
      <x:c r="G296"/>
      <x:c r="H296" s="34"/>
      <x:c r="I296" s="34" t="str">
        <x:f>IF(H296="","",IF(G296="역방향",8-H296,H296))</x:f>
      </x:c>
      <x:c r="J296" s="32"/>
      <x:c r="K296" s="32"/>
      <x:c r="L296" s="32"/>
      <x:c r="M296" s="32"/>
    </x:row>
    <x:row r="297">
      <x:c r="A297" s="32"/>
      <x:c r="B297"/>
      <x:c r="C297"/>
      <x:c r="D297"/>
      <x:c r="E297" s="20"/>
      <x:c r="F297"/>
      <x:c r="G297"/>
      <x:c r="H297" s="34"/>
      <x:c r="I297" s="34" t="str">
        <x:f>IF(H297="","",IF(G297="역방향",8-H297,H297))</x:f>
      </x:c>
      <x:c r="J297" s="32"/>
      <x:c r="K297" s="32"/>
      <x:c r="L297" s="32"/>
      <x:c r="M297" s="32"/>
    </x:row>
    <x:row r="298">
      <x:c r="A298" s="32"/>
      <x:c r="B298"/>
      <x:c r="C298"/>
      <x:c r="D298"/>
      <x:c r="E298" s="20"/>
      <x:c r="F298"/>
      <x:c r="G298"/>
      <x:c r="H298" s="34"/>
      <x:c r="I298" s="34" t="str">
        <x:f>IF(H298="","",IF(G298="역방향",8-H298,H298))</x:f>
      </x:c>
      <x:c r="J298" s="32"/>
      <x:c r="K298" s="32"/>
      <x:c r="L298" s="32"/>
      <x:c r="M298" s="32"/>
    </x:row>
    <x:row r="299">
      <x:c r="A299" s="32"/>
      <x:c r="B299"/>
      <x:c r="C299"/>
      <x:c r="D299"/>
      <x:c r="E299" s="20"/>
      <x:c r="F299"/>
      <x:c r="G299"/>
      <x:c r="H299" s="34"/>
      <x:c r="I299" s="34" t="str">
        <x:f>IF(H299="","",IF(G299="역방향",8-H299,H299))</x:f>
      </x:c>
      <x:c r="J299" s="32"/>
      <x:c r="K299" s="32"/>
      <x:c r="L299" s="32"/>
      <x:c r="M299" s="32"/>
    </x:row>
    <x:row r="300">
      <x:c r="A300" s="32"/>
      <x:c r="B300"/>
      <x:c r="C300"/>
      <x:c r="D300"/>
      <x:c r="E300" s="20"/>
      <x:c r="F300"/>
      <x:c r="G300"/>
      <x:c r="H300" s="34"/>
      <x:c r="I300" s="34" t="str">
        <x:f>IF(H300="","",IF(G300="역방향",8-H300,H300))</x:f>
      </x:c>
      <x:c r="J300" s="32"/>
      <x:c r="K300" s="32"/>
      <x:c r="L300" s="32"/>
      <x:c r="M300" s="32"/>
    </x:row>
    <x:row r="301">
      <x:c r="A301" s="32"/>
      <x:c r="B301"/>
      <x:c r="C301"/>
      <x:c r="D301"/>
      <x:c r="E301" s="20"/>
      <x:c r="F301"/>
      <x:c r="G301"/>
      <x:c r="H301" s="34"/>
      <x:c r="I301" s="34" t="str">
        <x:f>IF(H301="","",IF(G301="역방향",8-H301,H301))</x:f>
      </x:c>
      <x:c r="J301" s="32"/>
      <x:c r="K301" s="32"/>
      <x:c r="L301" s="32"/>
      <x:c r="M301" s="32"/>
    </x:row>
    <x:row r="302">
      <x:c r="A302" s="32"/>
      <x:c r="B302"/>
      <x:c r="C302"/>
      <x:c r="D302"/>
      <x:c r="E302" s="20"/>
      <x:c r="F302"/>
      <x:c r="G302"/>
      <x:c r="H302" s="34"/>
      <x:c r="I302" s="34" t="str">
        <x:f>IF(H302="","",IF(G302="역방향",8-H302,H302))</x:f>
      </x:c>
      <x:c r="J302" s="32"/>
      <x:c r="K302" s="32"/>
      <x:c r="L302" s="32"/>
      <x:c r="M302" s="32"/>
    </x:row>
    <x:row r="303">
      <x:c r="A303" s="32"/>
      <x:c r="B303"/>
      <x:c r="C303"/>
      <x:c r="D303"/>
      <x:c r="E303" s="20"/>
      <x:c r="F303"/>
      <x:c r="G303"/>
      <x:c r="H303" s="34"/>
      <x:c r="I303" s="34" t="str">
        <x:f>IF(H303="","",IF(G303="역방향",8-H303,H303))</x:f>
      </x:c>
      <x:c r="J303" s="32"/>
      <x:c r="K303" s="32"/>
      <x:c r="L303" s="32"/>
      <x:c r="M303" s="32"/>
    </x:row>
    <x:row r="304">
      <x:c r="A304" s="32"/>
      <x:c r="B304"/>
      <x:c r="C304"/>
      <x:c r="D304"/>
      <x:c r="E304" s="20"/>
      <x:c r="F304"/>
      <x:c r="G304"/>
      <x:c r="H304" s="34"/>
      <x:c r="I304" s="34" t="str">
        <x:f>IF(H304="","",IF(G304="역방향",8-H304,H304))</x:f>
      </x:c>
      <x:c r="J304" s="32"/>
      <x:c r="K304" s="32"/>
      <x:c r="L304" s="32"/>
      <x:c r="M304" s="32"/>
    </x:row>
    <x:row r="305">
      <x:c r="A305" s="32"/>
      <x:c r="B305"/>
      <x:c r="C305"/>
      <x:c r="D305"/>
      <x:c r="E305" s="20"/>
      <x:c r="F305"/>
      <x:c r="G305"/>
      <x:c r="H305" s="34"/>
      <x:c r="I305" s="34" t="str">
        <x:f>IF(H305="","",IF(G305="역방향",8-H305,H305))</x:f>
      </x:c>
      <x:c r="J305" s="32"/>
      <x:c r="K305" s="32"/>
      <x:c r="L305" s="32"/>
      <x:c r="M305" s="32"/>
    </x:row>
    <x:row r="306">
      <x:c r="A306" s="32"/>
      <x:c r="B306"/>
      <x:c r="C306"/>
      <x:c r="D306"/>
      <x:c r="E306" s="20"/>
      <x:c r="F306"/>
      <x:c r="G306"/>
      <x:c r="H306" s="34"/>
      <x:c r="I306" s="34" t="str">
        <x:f>IF(H306="","",IF(G306="역방향",8-H306,H306))</x:f>
      </x:c>
      <x:c r="J306" s="32"/>
      <x:c r="K306" s="32"/>
      <x:c r="L306" s="32"/>
      <x:c r="M306" s="32"/>
    </x:row>
    <x:row r="307">
      <x:c r="A307" s="32"/>
      <x:c r="B307"/>
      <x:c r="C307"/>
      <x:c r="D307"/>
      <x:c r="E307" s="20"/>
      <x:c r="F307"/>
      <x:c r="G307"/>
      <x:c r="H307" s="34"/>
      <x:c r="I307" s="34" t="str">
        <x:f>IF(H307="","",IF(G307="역방향",8-H307,H307))</x:f>
      </x:c>
      <x:c r="J307" s="32"/>
      <x:c r="K307" s="32"/>
      <x:c r="L307" s="32"/>
      <x:c r="M307" s="32"/>
    </x:row>
    <x:row r="308">
      <x:c r="A308" s="32"/>
      <x:c r="B308"/>
      <x:c r="C308"/>
      <x:c r="D308"/>
      <x:c r="E308" s="20"/>
      <x:c r="F308"/>
      <x:c r="G308"/>
      <x:c r="H308" s="34"/>
      <x:c r="I308" s="34" t="str">
        <x:f>IF(H308="","",IF(G308="역방향",8-H308,H308))</x:f>
      </x:c>
      <x:c r="J308" s="32"/>
      <x:c r="K308" s="32"/>
      <x:c r="L308" s="32"/>
      <x:c r="M308" s="32"/>
    </x:row>
    <x:row r="309">
      <x:c r="A309" s="32"/>
      <x:c r="B309"/>
      <x:c r="C309"/>
      <x:c r="D309"/>
      <x:c r="E309" s="20"/>
      <x:c r="F309"/>
      <x:c r="G309"/>
      <x:c r="H309" s="34"/>
      <x:c r="I309" s="34" t="str">
        <x:f>IF(H309="","",IF(G309="역방향",8-H309,H309))</x:f>
      </x:c>
      <x:c r="J309" s="32"/>
      <x:c r="K309" s="32"/>
      <x:c r="L309" s="32"/>
      <x:c r="M309" s="32"/>
    </x:row>
    <x:row r="310">
      <x:c r="A310" s="32"/>
      <x:c r="B310"/>
      <x:c r="C310"/>
      <x:c r="D310"/>
      <x:c r="E310" s="20"/>
      <x:c r="F310"/>
      <x:c r="G310"/>
      <x:c r="H310" s="34"/>
      <x:c r="I310" s="34" t="str">
        <x:f>IF(H310="","",IF(G310="역방향",8-H310,H310))</x:f>
      </x:c>
      <x:c r="J310" s="32"/>
      <x:c r="K310" s="32"/>
      <x:c r="L310" s="32"/>
      <x:c r="M310" s="32"/>
    </x:row>
    <x:row r="311">
      <x:c r="A311" s="32"/>
      <x:c r="B311"/>
      <x:c r="C311"/>
      <x:c r="D311"/>
      <x:c r="E311" s="20"/>
      <x:c r="F311"/>
      <x:c r="G311"/>
      <x:c r="H311" s="34"/>
      <x:c r="I311" s="34" t="str">
        <x:f>IF(H311="","",IF(G311="역방향",8-H311,H311))</x:f>
      </x:c>
      <x:c r="J311" s="32"/>
      <x:c r="K311" s="32"/>
      <x:c r="L311" s="32"/>
      <x:c r="M311" s="32"/>
    </x:row>
    <x:row r="312">
      <x:c r="A312" s="32"/>
      <x:c r="B312"/>
      <x:c r="C312"/>
      <x:c r="D312"/>
      <x:c r="E312" s="20"/>
      <x:c r="F312"/>
      <x:c r="G312"/>
      <x:c r="H312" s="34"/>
      <x:c r="I312" s="34" t="str">
        <x:f>IF(H312="","",IF(G312="역방향",8-H312,H312))</x:f>
      </x:c>
      <x:c r="J312" s="32"/>
      <x:c r="K312" s="32"/>
      <x:c r="L312" s="32"/>
      <x:c r="M312" s="32"/>
    </x:row>
    <x:row r="313">
      <x:c r="A313" s="32"/>
      <x:c r="B313"/>
      <x:c r="C313"/>
      <x:c r="D313"/>
      <x:c r="E313" s="20"/>
      <x:c r="F313"/>
      <x:c r="G313"/>
      <x:c r="H313" s="34"/>
      <x:c r="I313" s="34" t="str">
        <x:f>IF(H313="","",IF(G313="역방향",8-H313,H313))</x:f>
      </x:c>
      <x:c r="J313" s="32"/>
      <x:c r="K313" s="32"/>
      <x:c r="L313" s="32"/>
      <x:c r="M313" s="32"/>
    </x:row>
    <x:row r="314">
      <x:c r="A314" s="32"/>
      <x:c r="B314"/>
      <x:c r="C314"/>
      <x:c r="D314"/>
      <x:c r="E314" s="20"/>
      <x:c r="F314"/>
      <x:c r="G314"/>
      <x:c r="H314" s="34"/>
      <x:c r="I314" s="34" t="str">
        <x:f>IF(H314="","",IF(G314="역방향",8-H314,H314))</x:f>
      </x:c>
      <x:c r="J314" s="32"/>
      <x:c r="K314" s="32"/>
      <x:c r="L314" s="32"/>
      <x:c r="M314" s="32"/>
    </x:row>
    <x:row r="315">
      <x:c r="A315" s="32"/>
      <x:c r="B315"/>
      <x:c r="C315"/>
      <x:c r="D315"/>
      <x:c r="E315" s="20"/>
      <x:c r="F315"/>
      <x:c r="G315"/>
      <x:c r="H315" s="34"/>
      <x:c r="I315" s="34" t="str">
        <x:f>IF(H315="","",IF(G315="역방향",8-H315,H315))</x:f>
      </x:c>
      <x:c r="J315" s="32"/>
      <x:c r="K315" s="32"/>
      <x:c r="L315" s="32"/>
      <x:c r="M315" s="32"/>
    </x:row>
    <x:row r="316">
      <x:c r="A316" s="32"/>
      <x:c r="B316"/>
      <x:c r="C316"/>
      <x:c r="D316"/>
      <x:c r="E316" s="20"/>
      <x:c r="F316"/>
      <x:c r="G316"/>
      <x:c r="H316" s="34"/>
      <x:c r="I316" s="34" t="str">
        <x:f>IF(H316="","",IF(G316="역방향",8-H316,H316))</x:f>
      </x:c>
      <x:c r="J316" s="32"/>
      <x:c r="K316" s="32"/>
      <x:c r="L316" s="32"/>
      <x:c r="M316" s="32"/>
    </x:row>
    <x:row r="317">
      <x:c r="A317" s="32"/>
      <x:c r="B317"/>
      <x:c r="C317"/>
      <x:c r="D317"/>
      <x:c r="E317" s="20"/>
      <x:c r="F317"/>
      <x:c r="G317"/>
      <x:c r="H317" s="34"/>
      <x:c r="I317" s="34" t="str">
        <x:f>IF(H317="","",IF(G317="역방향",8-H317,H317))</x:f>
      </x:c>
      <x:c r="J317" s="32"/>
      <x:c r="K317" s="32"/>
      <x:c r="L317" s="32"/>
      <x:c r="M317" s="32"/>
    </x:row>
    <x:row r="318">
      <x:c r="A318" s="32"/>
      <x:c r="B318"/>
      <x:c r="C318"/>
      <x:c r="D318"/>
      <x:c r="E318" s="20"/>
      <x:c r="F318"/>
      <x:c r="G318"/>
      <x:c r="H318" s="34"/>
      <x:c r="I318" s="34" t="str">
        <x:f>IF(H318="","",IF(G318="역방향",8-H318,H318))</x:f>
      </x:c>
      <x:c r="J318" s="32"/>
      <x:c r="K318" s="32"/>
      <x:c r="L318" s="32"/>
      <x:c r="M318" s="32"/>
    </x:row>
    <x:row r="319">
      <x:c r="A319" s="32"/>
      <x:c r="B319"/>
      <x:c r="C319"/>
      <x:c r="D319"/>
      <x:c r="E319" s="20"/>
      <x:c r="F319"/>
      <x:c r="G319"/>
      <x:c r="H319" s="34"/>
      <x:c r="I319" s="34" t="str">
        <x:f>IF(H319="","",IF(G319="역방향",8-H319,H319))</x:f>
      </x:c>
      <x:c r="J319" s="32"/>
      <x:c r="K319" s="32"/>
      <x:c r="L319" s="32"/>
      <x:c r="M319" s="32"/>
    </x:row>
    <x:row r="320">
      <x:c r="A320" s="32"/>
      <x:c r="B320"/>
      <x:c r="C320"/>
      <x:c r="D320"/>
      <x:c r="E320" s="20"/>
      <x:c r="F320"/>
      <x:c r="G320"/>
      <x:c r="H320" s="34"/>
      <x:c r="I320" s="34" t="str">
        <x:f>IF(H320="","",IF(G320="역방향",8-H320,H320))</x:f>
      </x:c>
      <x:c r="J320" s="32"/>
      <x:c r="K320" s="32"/>
      <x:c r="L320" s="32"/>
      <x:c r="M320" s="32"/>
    </x:row>
    <x:row r="321">
      <x:c r="A321" s="32"/>
      <x:c r="B321"/>
      <x:c r="C321"/>
      <x:c r="D321"/>
      <x:c r="E321" s="20"/>
      <x:c r="F321"/>
      <x:c r="G321"/>
      <x:c r="H321" s="34"/>
      <x:c r="I321" s="34" t="str">
        <x:f>IF(H321="","",IF(G321="역방향",8-H321,H321))</x:f>
      </x:c>
      <x:c r="J321" s="32"/>
      <x:c r="K321" s="32"/>
      <x:c r="L321" s="32"/>
      <x:c r="M321" s="32"/>
    </x:row>
    <x:row r="322">
      <x:c r="A322" s="32"/>
      <x:c r="B322"/>
      <x:c r="C322"/>
      <x:c r="D322"/>
      <x:c r="E322" s="20"/>
      <x:c r="F322"/>
      <x:c r="G322"/>
      <x:c r="H322" s="34"/>
      <x:c r="I322" s="34" t="str">
        <x:f>IF(H322="","",IF(G322="역방향",8-H322,H322))</x:f>
      </x:c>
      <x:c r="J322" s="32"/>
      <x:c r="K322" s="32"/>
      <x:c r="L322" s="32"/>
      <x:c r="M322" s="32"/>
    </x:row>
    <x:row r="323">
      <x:c r="A323" s="32"/>
      <x:c r="B323"/>
      <x:c r="C323"/>
      <x:c r="D323"/>
      <x:c r="E323" s="20"/>
      <x:c r="F323"/>
      <x:c r="G323"/>
      <x:c r="H323" s="34"/>
      <x:c r="I323" s="34" t="str">
        <x:f>IF(H323="","",IF(G323="역방향",8-H323,H323))</x:f>
      </x:c>
      <x:c r="J323" s="32"/>
      <x:c r="K323" s="32"/>
      <x:c r="L323" s="32"/>
      <x:c r="M323" s="32"/>
    </x:row>
    <x:row r="324">
      <x:c r="A324" s="32"/>
      <x:c r="B324"/>
      <x:c r="C324"/>
      <x:c r="D324"/>
      <x:c r="E324" s="20"/>
      <x:c r="F324"/>
      <x:c r="G324"/>
      <x:c r="H324" s="34"/>
      <x:c r="I324" s="34" t="str">
        <x:f>IF(H324="","",IF(G324="역방향",8-H324,H324))</x:f>
      </x:c>
      <x:c r="J324" s="32"/>
      <x:c r="K324" s="32"/>
      <x:c r="L324" s="32"/>
      <x:c r="M324" s="32"/>
    </x:row>
    <x:row r="325">
      <x:c r="A325" s="32"/>
      <x:c r="B325"/>
      <x:c r="C325"/>
      <x:c r="D325"/>
      <x:c r="E325" s="20"/>
      <x:c r="F325"/>
      <x:c r="G325"/>
      <x:c r="H325" s="34"/>
      <x:c r="I325" s="34" t="str">
        <x:f>IF(H325="","",IF(G325="역방향",8-H325,H325))</x:f>
      </x:c>
      <x:c r="J325" s="32"/>
      <x:c r="K325" s="32"/>
      <x:c r="L325" s="32"/>
      <x:c r="M325" s="32"/>
    </x:row>
    <x:row r="326">
      <x:c r="A326" s="32"/>
      <x:c r="B326"/>
      <x:c r="C326"/>
      <x:c r="D326"/>
      <x:c r="E326" s="20"/>
      <x:c r="F326"/>
      <x:c r="G326"/>
      <x:c r="H326" s="34"/>
      <x:c r="I326" s="34" t="str">
        <x:f>IF(H326="","",IF(G326="역방향",8-H326,H326))</x:f>
      </x:c>
      <x:c r="J326" s="32"/>
      <x:c r="K326" s="32"/>
      <x:c r="L326" s="32"/>
      <x:c r="M326" s="32"/>
    </x:row>
    <x:row r="327">
      <x:c r="A327" s="32"/>
      <x:c r="B327"/>
      <x:c r="C327"/>
      <x:c r="D327"/>
      <x:c r="E327" s="20"/>
      <x:c r="F327"/>
      <x:c r="G327"/>
      <x:c r="H327" s="34"/>
      <x:c r="I327" s="34" t="str">
        <x:f>IF(H327="","",IF(G327="역방향",8-H327,H327))</x:f>
      </x:c>
      <x:c r="J327" s="32"/>
      <x:c r="K327" s="32"/>
      <x:c r="L327" s="32"/>
      <x:c r="M327" s="32"/>
    </x:row>
    <x:row r="328">
      <x:c r="A328" s="32"/>
      <x:c r="B328"/>
      <x:c r="C328"/>
      <x:c r="D328"/>
      <x:c r="E328" s="20"/>
      <x:c r="F328"/>
      <x:c r="G328"/>
      <x:c r="H328" s="34"/>
      <x:c r="I328" s="34" t="str">
        <x:f>IF(H328="","",IF(G328="역방향",8-H328,H328))</x:f>
      </x:c>
      <x:c r="J328" s="32"/>
      <x:c r="K328" s="32"/>
      <x:c r="L328" s="32"/>
      <x:c r="M328" s="32"/>
    </x:row>
    <x:row r="329">
      <x:c r="A329" s="32"/>
      <x:c r="B329"/>
      <x:c r="C329"/>
      <x:c r="D329"/>
      <x:c r="E329" s="20"/>
      <x:c r="F329"/>
      <x:c r="G329"/>
      <x:c r="H329" s="34"/>
      <x:c r="I329" s="34" t="str">
        <x:f>IF(H329="","",IF(G329="역방향",8-H329,H329))</x:f>
      </x:c>
      <x:c r="J329" s="32"/>
      <x:c r="K329" s="32"/>
      <x:c r="L329" s="32"/>
      <x:c r="M329" s="32"/>
    </x:row>
    <x:row r="330">
      <x:c r="A330" s="32"/>
      <x:c r="B330"/>
      <x:c r="C330"/>
      <x:c r="D330"/>
      <x:c r="E330" s="20"/>
      <x:c r="F330"/>
      <x:c r="G330"/>
      <x:c r="H330" s="34"/>
      <x:c r="I330" s="34" t="str">
        <x:f>IF(H330="","",IF(G330="역방향",8-H330,H330))</x:f>
      </x:c>
      <x:c r="J330" s="32"/>
      <x:c r="K330" s="32"/>
      <x:c r="L330" s="32"/>
      <x:c r="M330" s="32"/>
    </x:row>
    <x:row r="331">
      <x:c r="A331" s="32"/>
      <x:c r="B331"/>
      <x:c r="C331"/>
      <x:c r="D331"/>
      <x:c r="E331" s="20"/>
      <x:c r="F331"/>
      <x:c r="G331"/>
      <x:c r="H331" s="34"/>
      <x:c r="I331" s="34" t="str">
        <x:f>IF(H331="","",IF(G331="역방향",8-H331,H331))</x:f>
      </x:c>
      <x:c r="J331" s="32"/>
      <x:c r="K331" s="32"/>
      <x:c r="L331" s="32"/>
      <x:c r="M331" s="32"/>
    </x:row>
    <x:row r="332">
      <x:c r="A332" s="32"/>
      <x:c r="B332"/>
      <x:c r="C332"/>
      <x:c r="D332"/>
      <x:c r="E332" s="20"/>
      <x:c r="F332"/>
      <x:c r="G332"/>
      <x:c r="H332" s="34"/>
      <x:c r="I332" s="34" t="str">
        <x:f>IF(H332="","",IF(G332="역방향",8-H332,H332))</x:f>
      </x:c>
      <x:c r="J332" s="32"/>
      <x:c r="K332" s="32"/>
      <x:c r="L332" s="32"/>
      <x:c r="M332" s="32"/>
    </x:row>
    <x:row r="333">
      <x:c r="A333" s="32"/>
      <x:c r="B333"/>
      <x:c r="C333"/>
      <x:c r="D333"/>
      <x:c r="E333" s="20"/>
      <x:c r="F333"/>
      <x:c r="G333"/>
      <x:c r="H333" s="34"/>
      <x:c r="I333" s="34" t="str">
        <x:f>IF(H333="","",IF(G333="역방향",8-H333,H333))</x:f>
      </x:c>
      <x:c r="J333" s="32"/>
      <x:c r="K333" s="32"/>
      <x:c r="L333" s="32"/>
      <x:c r="M333" s="32"/>
    </x:row>
    <x:row r="334">
      <x:c r="A334" s="32"/>
      <x:c r="B334"/>
      <x:c r="C334"/>
      <x:c r="D334"/>
      <x:c r="E334" s="20"/>
      <x:c r="F334"/>
      <x:c r="G334"/>
      <x:c r="H334" s="34"/>
      <x:c r="I334" s="34" t="str">
        <x:f>IF(H334="","",IF(G334="역방향",8-H334,H334))</x:f>
      </x:c>
      <x:c r="J334" s="32"/>
      <x:c r="K334" s="32"/>
      <x:c r="L334" s="32"/>
      <x:c r="M334" s="32"/>
    </x:row>
    <x:row r="335">
      <x:c r="A335" s="32"/>
      <x:c r="B335"/>
      <x:c r="C335"/>
      <x:c r="D335"/>
      <x:c r="E335" s="20"/>
      <x:c r="F335"/>
      <x:c r="G335"/>
      <x:c r="H335" s="34"/>
      <x:c r="I335" s="34" t="str">
        <x:f>IF(H335="","",IF(G335="역방향",8-H335,H335))</x:f>
      </x:c>
      <x:c r="J335" s="32"/>
      <x:c r="K335" s="32"/>
      <x:c r="L335" s="32"/>
      <x:c r="M335" s="32"/>
    </x:row>
    <x:row r="336">
      <x:c r="A336" s="32"/>
      <x:c r="B336"/>
      <x:c r="C336"/>
      <x:c r="D336"/>
      <x:c r="E336" s="20"/>
      <x:c r="F336"/>
      <x:c r="G336"/>
      <x:c r="H336" s="34"/>
      <x:c r="I336" s="34" t="str">
        <x:f>IF(H336="","",IF(G336="역방향",8-H336,H336))</x:f>
      </x:c>
      <x:c r="J336" s="32"/>
      <x:c r="K336" s="32"/>
      <x:c r="L336" s="32"/>
      <x:c r="M336" s="32"/>
    </x:row>
    <x:row r="337">
      <x:c r="A337" s="32"/>
      <x:c r="B337"/>
      <x:c r="C337"/>
      <x:c r="D337"/>
      <x:c r="E337" s="20"/>
      <x:c r="F337"/>
      <x:c r="G337"/>
      <x:c r="H337" s="34"/>
      <x:c r="I337" s="34" t="str">
        <x:f>IF(H337="","",IF(G337="역방향",8-H337,H337))</x:f>
      </x:c>
      <x:c r="J337" s="32"/>
      <x:c r="K337" s="32"/>
      <x:c r="L337" s="32"/>
      <x:c r="M337" s="32"/>
    </x:row>
    <x:row r="338">
      <x:c r="A338" s="32"/>
      <x:c r="B338"/>
      <x:c r="C338"/>
      <x:c r="D338"/>
      <x:c r="E338" s="20"/>
      <x:c r="F338"/>
      <x:c r="G338"/>
      <x:c r="H338" s="34"/>
      <x:c r="I338" s="34" t="str">
        <x:f>IF(H338="","",IF(G338="역방향",8-H338,H338))</x:f>
      </x:c>
      <x:c r="J338" s="32"/>
      <x:c r="K338" s="32"/>
      <x:c r="L338" s="32"/>
      <x:c r="M338" s="32"/>
    </x:row>
    <x:row r="339">
      <x:c r="A339" s="32"/>
      <x:c r="B339"/>
      <x:c r="C339"/>
      <x:c r="D339"/>
      <x:c r="E339" s="20"/>
      <x:c r="F339"/>
      <x:c r="G339"/>
      <x:c r="H339" s="34"/>
      <x:c r="I339" s="34" t="str">
        <x:f>IF(H339="","",IF(G339="역방향",8-H339,H339))</x:f>
      </x:c>
      <x:c r="J339" s="32"/>
      <x:c r="K339" s="32"/>
      <x:c r="L339" s="32"/>
      <x:c r="M339" s="32"/>
    </x:row>
    <x:row r="340">
      <x:c r="A340" s="32"/>
      <x:c r="B340"/>
      <x:c r="C340"/>
      <x:c r="D340"/>
      <x:c r="E340" s="20"/>
      <x:c r="F340"/>
      <x:c r="G340"/>
      <x:c r="H340" s="34"/>
      <x:c r="I340" s="34" t="str">
        <x:f>IF(H340="","",IF(G340="역방향",8-H340,H340))</x:f>
      </x:c>
      <x:c r="J340" s="32"/>
      <x:c r="K340" s="32"/>
      <x:c r="L340" s="32"/>
      <x:c r="M340" s="32"/>
    </x:row>
    <x:row r="341">
      <x:c r="A341" s="32"/>
      <x:c r="B341"/>
      <x:c r="C341"/>
      <x:c r="D341"/>
      <x:c r="E341" s="20"/>
      <x:c r="F341"/>
      <x:c r="G341"/>
      <x:c r="H341" s="34"/>
      <x:c r="I341" s="34" t="str">
        <x:f>IF(H341="","",IF(G341="역방향",8-H341,H341))</x:f>
      </x:c>
      <x:c r="J341" s="32"/>
      <x:c r="K341" s="32"/>
      <x:c r="L341" s="32"/>
      <x:c r="M341" s="32"/>
    </x:row>
    <x:row r="342">
      <x:c r="A342" s="32"/>
      <x:c r="B342"/>
      <x:c r="C342"/>
      <x:c r="D342"/>
      <x:c r="E342" s="20"/>
      <x:c r="F342"/>
      <x:c r="G342"/>
      <x:c r="H342" s="34"/>
      <x:c r="I342" s="34" t="str">
        <x:f>IF(H342="","",IF(G342="역방향",8-H342,H342))</x:f>
      </x:c>
      <x:c r="J342" s="32"/>
      <x:c r="K342" s="32"/>
      <x:c r="L342" s="32"/>
      <x:c r="M342" s="32"/>
    </x:row>
    <x:row r="343">
      <x:c r="A343" s="32"/>
      <x:c r="B343"/>
      <x:c r="C343"/>
      <x:c r="D343"/>
      <x:c r="E343" s="20"/>
      <x:c r="F343"/>
      <x:c r="G343"/>
      <x:c r="H343" s="34"/>
      <x:c r="I343" s="34" t="str">
        <x:f>IF(H343="","",IF(G343="역방향",8-H343,H343))</x:f>
      </x:c>
      <x:c r="J343" s="32"/>
      <x:c r="K343" s="32"/>
      <x:c r="L343" s="32"/>
      <x:c r="M343" s="32"/>
    </x:row>
    <x:row r="344">
      <x:c r="A344" s="32"/>
      <x:c r="B344"/>
      <x:c r="C344"/>
      <x:c r="D344"/>
      <x:c r="E344" s="20"/>
      <x:c r="F344"/>
      <x:c r="G344"/>
      <x:c r="H344" s="34"/>
      <x:c r="I344" s="34" t="str">
        <x:f>IF(H344="","",IF(G344="역방향",8-H344,H344))</x:f>
      </x:c>
      <x:c r="J344" s="32"/>
      <x:c r="K344" s="32"/>
      <x:c r="L344" s="32"/>
      <x:c r="M344" s="32"/>
    </x:row>
    <x:row r="345">
      <x:c r="A345" s="32"/>
      <x:c r="B345"/>
      <x:c r="C345"/>
      <x:c r="D345"/>
      <x:c r="E345" s="20"/>
      <x:c r="F345"/>
      <x:c r="G345"/>
      <x:c r="H345" s="34"/>
      <x:c r="I345" s="34" t="str">
        <x:f>IF(H345="","",IF(G345="역방향",8-H345,H345))</x:f>
      </x:c>
      <x:c r="J345" s="32"/>
      <x:c r="K345" s="32"/>
      <x:c r="L345" s="32"/>
      <x:c r="M345" s="32"/>
    </x:row>
    <x:row r="346">
      <x:c r="A346" s="32"/>
      <x:c r="B346"/>
      <x:c r="C346"/>
      <x:c r="D346"/>
      <x:c r="E346" s="20"/>
      <x:c r="F346"/>
      <x:c r="G346"/>
      <x:c r="H346" s="34"/>
      <x:c r="I346" s="34" t="str">
        <x:f>IF(H346="","",IF(G346="역방향",8-H346,H346))</x:f>
      </x:c>
      <x:c r="J346" s="32"/>
      <x:c r="K346" s="32"/>
      <x:c r="L346" s="32"/>
      <x:c r="M346" s="32"/>
    </x:row>
    <x:row r="347">
      <x:c r="A347" s="32"/>
      <x:c r="B347"/>
      <x:c r="C347"/>
      <x:c r="D347"/>
      <x:c r="E347" s="20"/>
      <x:c r="F347"/>
      <x:c r="G347"/>
      <x:c r="H347" s="34"/>
      <x:c r="I347" s="34" t="str">
        <x:f>IF(H347="","",IF(G347="역방향",8-H347,H347))</x:f>
      </x:c>
      <x:c r="J347" s="32"/>
      <x:c r="K347" s="32"/>
      <x:c r="L347" s="32"/>
      <x:c r="M347" s="32"/>
    </x:row>
    <x:row r="348">
      <x:c r="A348" s="32"/>
      <x:c r="B348"/>
      <x:c r="C348"/>
      <x:c r="D348"/>
      <x:c r="E348" s="20"/>
      <x:c r="F348"/>
      <x:c r="G348"/>
      <x:c r="H348" s="34"/>
      <x:c r="I348" s="34" t="str">
        <x:f>IF(H348="","",IF(G348="역방향",8-H348,H348))</x:f>
      </x:c>
      <x:c r="J348" s="32"/>
      <x:c r="K348" s="32"/>
      <x:c r="L348" s="32"/>
      <x:c r="M348" s="32"/>
    </x:row>
    <x:row r="349">
      <x:c r="A349" s="32"/>
      <x:c r="B349"/>
      <x:c r="C349"/>
      <x:c r="D349"/>
      <x:c r="E349" s="20"/>
      <x:c r="F349"/>
      <x:c r="G349"/>
      <x:c r="H349" s="34"/>
      <x:c r="I349" s="34" t="str">
        <x:f>IF(H349="","",IF(G349="역방향",8-H349,H349))</x:f>
      </x:c>
      <x:c r="J349" s="32"/>
      <x:c r="K349" s="32"/>
      <x:c r="L349" s="32"/>
      <x:c r="M349" s="32"/>
    </x:row>
    <x:row r="350">
      <x:c r="A350" s="32"/>
      <x:c r="B350"/>
      <x:c r="C350"/>
      <x:c r="D350"/>
      <x:c r="E350" s="20"/>
      <x:c r="F350"/>
      <x:c r="G350"/>
      <x:c r="H350" s="34"/>
      <x:c r="I350" s="34" t="str">
        <x:f>IF(H350="","",IF(G350="역방향",8-H350,H350))</x:f>
      </x:c>
      <x:c r="J350" s="32"/>
      <x:c r="K350" s="32"/>
      <x:c r="L350" s="32"/>
      <x:c r="M350" s="32"/>
    </x:row>
    <x:row r="351">
      <x:c r="A351" s="32"/>
      <x:c r="B351"/>
      <x:c r="C351"/>
      <x:c r="D351"/>
      <x:c r="E351" s="20"/>
      <x:c r="F351"/>
      <x:c r="G351"/>
      <x:c r="H351" s="34"/>
      <x:c r="I351" s="34" t="str">
        <x:f>IF(H351="","",IF(G351="역방향",8-H351,H351))</x:f>
      </x:c>
      <x:c r="J351" s="32"/>
      <x:c r="K351" s="32"/>
      <x:c r="L351" s="32"/>
      <x:c r="M351" s="32"/>
    </x:row>
    <x:row r="352">
      <x:c r="A352" s="32"/>
      <x:c r="B352"/>
      <x:c r="C352"/>
      <x:c r="D352"/>
      <x:c r="E352" s="20"/>
      <x:c r="F352"/>
      <x:c r="G352"/>
      <x:c r="H352" s="34"/>
      <x:c r="I352" s="34" t="str">
        <x:f>IF(H352="","",IF(G352="역방향",8-H352,H352))</x:f>
      </x:c>
      <x:c r="J352" s="32"/>
      <x:c r="K352" s="32"/>
      <x:c r="L352" s="32"/>
      <x:c r="M352" s="32"/>
    </x:row>
    <x:row r="353">
      <x:c r="A353" s="32"/>
      <x:c r="B353"/>
      <x:c r="C353"/>
      <x:c r="D353"/>
      <x:c r="E353" s="20"/>
      <x:c r="F353"/>
      <x:c r="G353"/>
      <x:c r="H353" s="34"/>
      <x:c r="I353" s="34" t="str">
        <x:f>IF(H353="","",IF(G353="역방향",8-H353,H353))</x:f>
      </x:c>
      <x:c r="J353" s="32"/>
      <x:c r="K353" s="32"/>
      <x:c r="L353" s="32"/>
      <x:c r="M353" s="32"/>
    </x:row>
    <x:row r="354">
      <x:c r="A354" s="32"/>
      <x:c r="B354"/>
      <x:c r="C354"/>
      <x:c r="D354"/>
      <x:c r="E354" s="20"/>
      <x:c r="F354"/>
      <x:c r="G354"/>
      <x:c r="H354" s="34"/>
      <x:c r="I354" s="34" t="str">
        <x:f>IF(H354="","",IF(G354="역방향",8-H354,H354))</x:f>
      </x:c>
      <x:c r="J354" s="32"/>
      <x:c r="K354" s="32"/>
      <x:c r="L354" s="32"/>
      <x:c r="M354" s="32"/>
    </x:row>
    <x:row r="355">
      <x:c r="A355" s="32"/>
      <x:c r="B355"/>
      <x:c r="C355"/>
      <x:c r="D355"/>
      <x:c r="E355" s="20"/>
      <x:c r="F355"/>
      <x:c r="G355"/>
      <x:c r="H355" s="34"/>
      <x:c r="I355" s="34" t="str">
        <x:f>IF(H355="","",IF(G355="역방향",8-H355,H355))</x:f>
      </x:c>
      <x:c r="J355" s="32"/>
      <x:c r="K355" s="32"/>
      <x:c r="L355" s="32"/>
      <x:c r="M355" s="32"/>
    </x:row>
    <x:row r="356">
      <x:c r="A356" s="32"/>
      <x:c r="B356"/>
      <x:c r="C356"/>
      <x:c r="D356"/>
      <x:c r="E356" s="20"/>
      <x:c r="F356"/>
      <x:c r="G356"/>
      <x:c r="H356" s="34"/>
      <x:c r="I356" s="34" t="str">
        <x:f>IF(H356="","",IF(G356="역방향",8-H356,H356))</x:f>
      </x:c>
      <x:c r="J356" s="32"/>
      <x:c r="K356" s="32"/>
      <x:c r="L356" s="32"/>
      <x:c r="M356" s="32"/>
    </x:row>
    <x:row r="357">
      <x:c r="A357" s="32"/>
      <x:c r="B357"/>
      <x:c r="C357"/>
      <x:c r="D357"/>
      <x:c r="E357" s="20"/>
      <x:c r="F357"/>
      <x:c r="G357"/>
      <x:c r="H357" s="34"/>
      <x:c r="I357" s="34" t="str">
        <x:f>IF(H357="","",IF(G357="역방향",8-H357,H357))</x:f>
      </x:c>
      <x:c r="J357" s="32"/>
      <x:c r="K357" s="32"/>
      <x:c r="L357" s="32"/>
      <x:c r="M357" s="32"/>
    </x:row>
    <x:row r="358">
      <x:c r="A358" s="32"/>
      <x:c r="B358"/>
      <x:c r="C358"/>
      <x:c r="D358"/>
      <x:c r="E358" s="20"/>
      <x:c r="F358"/>
      <x:c r="G358"/>
      <x:c r="H358" s="34"/>
      <x:c r="I358" s="34" t="str">
        <x:f>IF(H358="","",IF(G358="역방향",8-H358,H358))</x:f>
      </x:c>
      <x:c r="J358" s="32"/>
      <x:c r="K358" s="32"/>
      <x:c r="L358" s="32"/>
      <x:c r="M358" s="32"/>
    </x:row>
    <x:row r="359">
      <x:c r="A359" s="32"/>
      <x:c r="B359"/>
      <x:c r="C359"/>
      <x:c r="D359"/>
      <x:c r="E359" s="20"/>
      <x:c r="F359"/>
      <x:c r="G359"/>
      <x:c r="H359" s="34"/>
      <x:c r="I359" s="34" t="str">
        <x:f>IF(H359="","",IF(G359="역방향",8-H359,H359))</x:f>
      </x:c>
      <x:c r="J359" s="32"/>
      <x:c r="K359" s="32"/>
      <x:c r="L359" s="32"/>
      <x:c r="M359" s="32"/>
    </x:row>
    <x:row r="360">
      <x:c r="A360" s="32"/>
      <x:c r="B360"/>
      <x:c r="C360"/>
      <x:c r="D360"/>
      <x:c r="E360" s="20"/>
      <x:c r="F360"/>
      <x:c r="G360"/>
      <x:c r="H360" s="34"/>
      <x:c r="I360" s="34" t="str">
        <x:f>IF(H360="","",IF(G360="역방향",8-H360,H360))</x:f>
      </x:c>
      <x:c r="J360" s="32"/>
      <x:c r="K360" s="32"/>
      <x:c r="L360" s="32"/>
      <x:c r="M360" s="32"/>
    </x:row>
    <x:row r="361">
      <x:c r="A361" s="32"/>
      <x:c r="B361"/>
      <x:c r="C361"/>
      <x:c r="D361"/>
      <x:c r="E361" s="20"/>
      <x:c r="F361"/>
      <x:c r="G361"/>
      <x:c r="H361" s="34"/>
      <x:c r="I361" s="34" t="str">
        <x:f>IF(H361="","",IF(G361="역방향",8-H361,H361))</x:f>
      </x:c>
      <x:c r="J361" s="32"/>
      <x:c r="K361" s="32"/>
      <x:c r="L361" s="32"/>
      <x:c r="M361" s="32"/>
    </x:row>
    <x:row r="362">
      <x:c r="A362" s="32"/>
      <x:c r="B362"/>
      <x:c r="C362"/>
      <x:c r="D362"/>
      <x:c r="E362" s="20"/>
      <x:c r="F362"/>
      <x:c r="G362"/>
      <x:c r="H362" s="34"/>
      <x:c r="I362" s="34" t="str">
        <x:f>IF(H362="","",IF(G362="역방향",8-H362,H362))</x:f>
      </x:c>
      <x:c r="J362" s="32"/>
      <x:c r="K362" s="32"/>
      <x:c r="L362" s="32"/>
      <x:c r="M362" s="32"/>
    </x:row>
    <x:row r="363">
      <x:c r="A363" s="32"/>
      <x:c r="B363"/>
      <x:c r="C363"/>
      <x:c r="D363"/>
      <x:c r="E363" s="20"/>
      <x:c r="F363"/>
      <x:c r="G363"/>
      <x:c r="H363" s="34"/>
      <x:c r="I363" s="34" t="str">
        <x:f>IF(H363="","",IF(G363="역방향",8-H363,H363))</x:f>
      </x:c>
      <x:c r="J363" s="32"/>
      <x:c r="K363" s="32"/>
      <x:c r="L363" s="32"/>
      <x:c r="M363" s="32"/>
    </x:row>
    <x:row r="364">
      <x:c r="A364" s="32"/>
      <x:c r="B364"/>
      <x:c r="C364"/>
      <x:c r="D364"/>
      <x:c r="E364" s="20"/>
      <x:c r="F364"/>
      <x:c r="G364"/>
      <x:c r="H364" s="34"/>
      <x:c r="I364" s="34" t="str">
        <x:f>IF(H364="","",IF(G364="역방향",8-H364,H364))</x:f>
      </x:c>
      <x:c r="J364" s="32"/>
      <x:c r="K364" s="32"/>
      <x:c r="L364" s="32"/>
      <x:c r="M364" s="32"/>
    </x:row>
    <x:row r="365">
      <x:c r="A365" s="32"/>
      <x:c r="B365"/>
      <x:c r="C365"/>
      <x:c r="D365"/>
      <x:c r="E365" s="20"/>
      <x:c r="F365"/>
      <x:c r="G365"/>
      <x:c r="H365" s="34"/>
      <x:c r="I365" s="34" t="str">
        <x:f>IF(H365="","",IF(G365="역방향",8-H365,H365))</x:f>
      </x:c>
      <x:c r="J365" s="32"/>
      <x:c r="K365" s="32"/>
      <x:c r="L365" s="32"/>
      <x:c r="M365" s="32"/>
    </x:row>
    <x:row r="366">
      <x:c r="A366" s="32"/>
      <x:c r="B366"/>
      <x:c r="C366"/>
      <x:c r="D366"/>
      <x:c r="E366" s="20"/>
      <x:c r="F366"/>
      <x:c r="G366"/>
      <x:c r="H366" s="34"/>
      <x:c r="I366" s="34" t="str">
        <x:f>IF(H366="","",IF(G366="역방향",8-H366,H366))</x:f>
      </x:c>
      <x:c r="J366" s="32"/>
      <x:c r="K366" s="32"/>
      <x:c r="L366" s="32"/>
      <x:c r="M366" s="32"/>
    </x:row>
    <x:row r="367">
      <x:c r="A367" s="32"/>
      <x:c r="B367"/>
      <x:c r="C367"/>
      <x:c r="D367"/>
      <x:c r="E367" s="20"/>
      <x:c r="F367"/>
      <x:c r="G367"/>
      <x:c r="H367" s="34"/>
      <x:c r="I367" s="34" t="str">
        <x:f>IF(H367="","",IF(G367="역방향",8-H367,H367))</x:f>
      </x:c>
      <x:c r="J367" s="32"/>
      <x:c r="K367" s="32"/>
      <x:c r="L367" s="32"/>
      <x:c r="M367" s="32"/>
    </x:row>
    <x:row r="368">
      <x:c r="A368" s="32"/>
      <x:c r="B368"/>
      <x:c r="C368"/>
      <x:c r="D368"/>
      <x:c r="E368" s="20"/>
      <x:c r="F368"/>
      <x:c r="G368"/>
      <x:c r="H368" s="34"/>
      <x:c r="I368" s="34" t="str">
        <x:f>IF(H368="","",IF(G368="역방향",8-H368,H368))</x:f>
      </x:c>
      <x:c r="J368" s="32"/>
      <x:c r="K368" s="32"/>
      <x:c r="L368" s="32"/>
      <x:c r="M368" s="32"/>
    </x:row>
    <x:row r="369">
      <x:c r="A369" s="32"/>
      <x:c r="B369"/>
      <x:c r="C369"/>
      <x:c r="D369"/>
      <x:c r="E369" s="20"/>
      <x:c r="F369"/>
      <x:c r="G369"/>
      <x:c r="H369" s="34"/>
      <x:c r="I369" s="34" t="str">
        <x:f>IF(H369="","",IF(G369="역방향",8-H369,H369))</x:f>
      </x:c>
      <x:c r="J369" s="32"/>
      <x:c r="K369" s="32"/>
      <x:c r="L369" s="32"/>
      <x:c r="M369" s="32"/>
    </x:row>
    <x:row r="370">
      <x:c r="A370" s="32"/>
      <x:c r="B370"/>
      <x:c r="C370"/>
      <x:c r="D370"/>
      <x:c r="E370" s="20"/>
      <x:c r="F370"/>
      <x:c r="G370"/>
      <x:c r="H370" s="34"/>
      <x:c r="I370" s="34" t="str">
        <x:f>IF(H370="","",IF(G370="역방향",8-H370,H370))</x:f>
      </x:c>
      <x:c r="J370" s="32"/>
      <x:c r="K370" s="32"/>
      <x:c r="L370" s="32"/>
      <x:c r="M370" s="32"/>
    </x:row>
    <x:row r="371">
      <x:c r="A371" s="32"/>
      <x:c r="B371"/>
      <x:c r="C371"/>
      <x:c r="D371"/>
      <x:c r="E371" s="20"/>
      <x:c r="F371"/>
      <x:c r="G371"/>
      <x:c r="H371" s="34"/>
      <x:c r="I371" s="34" t="str">
        <x:f>IF(H371="","",IF(G371="역방향",8-H371,H371))</x:f>
      </x:c>
      <x:c r="J371" s="32"/>
      <x:c r="K371" s="32"/>
      <x:c r="L371" s="32"/>
      <x:c r="M371" s="32"/>
    </x:row>
    <x:row r="372">
      <x:c r="A372" s="32"/>
      <x:c r="B372"/>
      <x:c r="C372"/>
      <x:c r="D372"/>
      <x:c r="E372" s="20"/>
      <x:c r="F372"/>
      <x:c r="G372"/>
      <x:c r="H372" s="34"/>
      <x:c r="I372" s="34" t="str">
        <x:f>IF(H372="","",IF(G372="역방향",8-H372,H372))</x:f>
      </x:c>
      <x:c r="J372" s="32"/>
      <x:c r="K372" s="32"/>
      <x:c r="L372" s="32"/>
      <x:c r="M372" s="32"/>
    </x:row>
    <x:row r="373">
      <x:c r="A373" s="32"/>
      <x:c r="B373"/>
      <x:c r="C373"/>
      <x:c r="D373"/>
      <x:c r="E373" s="20"/>
      <x:c r="F373"/>
      <x:c r="G373"/>
      <x:c r="H373" s="34"/>
      <x:c r="I373" s="34" t="str">
        <x:f>IF(H373="","",IF(G373="역방향",8-H373,H373))</x:f>
      </x:c>
      <x:c r="J373" s="32"/>
      <x:c r="K373" s="32"/>
      <x:c r="L373" s="32"/>
      <x:c r="M373" s="32"/>
    </x:row>
    <x:row r="374">
      <x:c r="A374" s="32"/>
      <x:c r="B374"/>
      <x:c r="C374"/>
      <x:c r="D374"/>
      <x:c r="E374" s="20"/>
      <x:c r="F374"/>
      <x:c r="G374"/>
      <x:c r="H374" s="34"/>
      <x:c r="I374" s="34" t="str">
        <x:f>IF(H374="","",IF(G374="역방향",8-H374,H374))</x:f>
      </x:c>
      <x:c r="J374" s="32"/>
      <x:c r="K374" s="32"/>
      <x:c r="L374" s="32"/>
      <x:c r="M374" s="32"/>
    </x:row>
    <x:row r="375">
      <x:c r="A375" s="32"/>
      <x:c r="B375"/>
      <x:c r="C375"/>
      <x:c r="D375"/>
      <x:c r="E375" s="20"/>
      <x:c r="F375"/>
      <x:c r="G375"/>
      <x:c r="H375" s="34"/>
      <x:c r="I375" s="34" t="str">
        <x:f>IF(H375="","",IF(G375="역방향",8-H375,H375))</x:f>
      </x:c>
      <x:c r="J375" s="32"/>
      <x:c r="K375" s="32"/>
      <x:c r="L375" s="32"/>
      <x:c r="M375" s="32"/>
    </x:row>
    <x:row r="376">
      <x:c r="A376" s="32"/>
      <x:c r="B376"/>
      <x:c r="C376"/>
      <x:c r="D376"/>
      <x:c r="E376" s="20"/>
      <x:c r="F376"/>
      <x:c r="G376"/>
      <x:c r="H376" s="34"/>
      <x:c r="I376" s="34" t="str">
        <x:f>IF(H376="","",IF(G376="역방향",8-H376,H376))</x:f>
      </x:c>
      <x:c r="J376" s="32"/>
      <x:c r="K376" s="32"/>
      <x:c r="L376" s="32"/>
      <x:c r="M376" s="32"/>
    </x:row>
    <x:row r="377">
      <x:c r="A377" s="32"/>
      <x:c r="B377"/>
      <x:c r="C377"/>
      <x:c r="D377"/>
      <x:c r="E377" s="20"/>
      <x:c r="F377"/>
      <x:c r="G377"/>
      <x:c r="H377" s="34"/>
      <x:c r="I377" s="34" t="str">
        <x:f>IF(H377="","",IF(G377="역방향",8-H377,H377))</x:f>
      </x:c>
      <x:c r="J377" s="32"/>
      <x:c r="K377" s="32"/>
      <x:c r="L377" s="32"/>
      <x:c r="M377" s="32"/>
    </x:row>
    <x:row r="378">
      <x:c r="A378" s="32"/>
      <x:c r="B378"/>
      <x:c r="C378"/>
      <x:c r="D378"/>
      <x:c r="E378" s="20"/>
      <x:c r="F378"/>
      <x:c r="G378"/>
      <x:c r="H378" s="34"/>
      <x:c r="I378" s="34" t="str">
        <x:f>IF(H378="","",IF(G378="역방향",8-H378,H378))</x:f>
      </x:c>
      <x:c r="J378" s="32"/>
      <x:c r="K378" s="32"/>
      <x:c r="L378" s="32"/>
      <x:c r="M378" s="32"/>
    </x:row>
    <x:row r="379">
      <x:c r="A379" s="32"/>
      <x:c r="B379"/>
      <x:c r="C379"/>
      <x:c r="D379"/>
      <x:c r="E379" s="20"/>
      <x:c r="F379"/>
      <x:c r="G379"/>
      <x:c r="H379" s="34"/>
      <x:c r="I379" s="34" t="str">
        <x:f>IF(H379="","",IF(G379="역방향",8-H379,H379))</x:f>
      </x:c>
      <x:c r="J379" s="32"/>
      <x:c r="K379" s="32"/>
      <x:c r="L379" s="32"/>
      <x:c r="M379" s="32"/>
    </x:row>
    <x:row r="380">
      <x:c r="A380" s="32"/>
      <x:c r="B380"/>
      <x:c r="C380"/>
      <x:c r="D380"/>
      <x:c r="E380" s="20"/>
      <x:c r="F380"/>
      <x:c r="G380"/>
      <x:c r="H380" s="34"/>
      <x:c r="I380" s="34" t="str">
        <x:f>IF(H380="","",IF(G380="역방향",8-H380,H380))</x:f>
      </x:c>
      <x:c r="J380" s="32"/>
      <x:c r="K380" s="32"/>
      <x:c r="L380" s="32"/>
      <x:c r="M380" s="32"/>
    </x:row>
    <x:row r="381">
      <x:c r="A381" s="32"/>
      <x:c r="B381"/>
      <x:c r="C381"/>
      <x:c r="D381"/>
      <x:c r="E381" s="20"/>
      <x:c r="F381"/>
      <x:c r="G381"/>
      <x:c r="H381" s="34"/>
      <x:c r="I381" s="34" t="str">
        <x:f>IF(H381="","",IF(G381="역방향",8-H381,H381))</x:f>
      </x:c>
      <x:c r="J381" s="32"/>
      <x:c r="K381" s="32"/>
      <x:c r="L381" s="32"/>
      <x:c r="M381" s="32"/>
    </x:row>
    <x:row r="382">
      <x:c r="A382" s="32"/>
      <x:c r="B382"/>
      <x:c r="C382"/>
      <x:c r="D382"/>
      <x:c r="E382" s="20"/>
      <x:c r="F382"/>
      <x:c r="G382"/>
      <x:c r="H382" s="34"/>
      <x:c r="I382" s="34" t="str">
        <x:f>IF(H382="","",IF(G382="역방향",8-H382,H382))</x:f>
      </x:c>
      <x:c r="J382" s="32"/>
      <x:c r="K382" s="32"/>
      <x:c r="L382" s="32"/>
      <x:c r="M382" s="32"/>
    </x:row>
    <x:row r="383">
      <x:c r="A383" s="32"/>
      <x:c r="B383"/>
      <x:c r="C383"/>
      <x:c r="D383"/>
      <x:c r="E383" s="20"/>
      <x:c r="F383"/>
      <x:c r="G383"/>
      <x:c r="H383" s="34"/>
      <x:c r="I383" s="34" t="str">
        <x:f>IF(H383="","",IF(G383="역방향",8-H383,H383))</x:f>
      </x:c>
      <x:c r="J383" s="32"/>
      <x:c r="K383" s="32"/>
      <x:c r="L383" s="32"/>
      <x:c r="M383" s="32"/>
    </x:row>
    <x:row r="384">
      <x:c r="A384" s="32"/>
      <x:c r="B384"/>
      <x:c r="C384"/>
      <x:c r="D384"/>
      <x:c r="E384" s="20"/>
      <x:c r="F384"/>
      <x:c r="G384"/>
      <x:c r="H384" s="34"/>
      <x:c r="I384" s="34" t="str">
        <x:f>IF(H384="","",IF(G384="역방향",8-H384,H384))</x:f>
      </x:c>
      <x:c r="J384" s="32"/>
      <x:c r="K384" s="32"/>
      <x:c r="L384" s="32"/>
      <x:c r="M384" s="32"/>
    </x:row>
    <x:row r="385">
      <x:c r="A385" s="32"/>
      <x:c r="B385"/>
      <x:c r="C385"/>
      <x:c r="D385"/>
      <x:c r="E385" s="20"/>
      <x:c r="F385"/>
      <x:c r="G385"/>
      <x:c r="H385" s="34"/>
      <x:c r="I385" s="34" t="str">
        <x:f>IF(H385="","",IF(G385="역방향",8-H385,H385))</x:f>
      </x:c>
      <x:c r="J385" s="32"/>
      <x:c r="K385" s="32"/>
      <x:c r="L385" s="32"/>
      <x:c r="M385" s="32"/>
    </x:row>
    <x:row r="386">
      <x:c r="A386" s="32"/>
      <x:c r="B386"/>
      <x:c r="C386"/>
      <x:c r="D386"/>
      <x:c r="E386" s="20"/>
      <x:c r="F386"/>
      <x:c r="G386"/>
      <x:c r="H386" s="34"/>
      <x:c r="I386" s="34" t="str">
        <x:f>IF(H386="","",IF(G386="역방향",8-H386,H386))</x:f>
      </x:c>
      <x:c r="J386" s="32"/>
      <x:c r="K386" s="32"/>
      <x:c r="L386" s="32"/>
      <x:c r="M386" s="32"/>
    </x:row>
    <x:row r="387">
      <x:c r="A387" s="32"/>
      <x:c r="B387"/>
      <x:c r="C387"/>
      <x:c r="D387"/>
      <x:c r="E387" s="20"/>
      <x:c r="F387"/>
      <x:c r="G387"/>
      <x:c r="H387" s="34"/>
      <x:c r="I387" s="34" t="str">
        <x:f>IF(H387="","",IF(G387="역방향",8-H387,H387))</x:f>
      </x:c>
      <x:c r="J387" s="32"/>
      <x:c r="K387" s="32"/>
      <x:c r="L387" s="32"/>
      <x:c r="M387" s="32"/>
    </x:row>
    <x:row r="388">
      <x:c r="A388" s="32"/>
      <x:c r="B388"/>
      <x:c r="C388"/>
      <x:c r="D388"/>
      <x:c r="E388" s="20"/>
      <x:c r="F388"/>
      <x:c r="G388"/>
      <x:c r="H388" s="34"/>
      <x:c r="I388" s="34" t="str">
        <x:f>IF(H388="","",IF(G388="역방향",8-H388,H388))</x:f>
      </x:c>
      <x:c r="J388" s="32"/>
      <x:c r="K388" s="32"/>
      <x:c r="L388" s="32"/>
      <x:c r="M388" s="32"/>
    </x:row>
    <x:row r="389">
      <x:c r="A389" s="32"/>
      <x:c r="B389"/>
      <x:c r="C389"/>
      <x:c r="D389"/>
      <x:c r="E389" s="20"/>
      <x:c r="F389"/>
      <x:c r="G389"/>
      <x:c r="H389" s="34"/>
      <x:c r="I389" s="34" t="str">
        <x:f>IF(H389="","",IF(G389="역방향",8-H389,H389))</x:f>
      </x:c>
      <x:c r="J389" s="32"/>
      <x:c r="K389" s="32"/>
      <x:c r="L389" s="32"/>
      <x:c r="M389" s="32"/>
    </x:row>
    <x:row r="390">
      <x:c r="A390" s="32"/>
      <x:c r="B390"/>
      <x:c r="C390"/>
      <x:c r="D390"/>
      <x:c r="E390" s="20"/>
      <x:c r="F390"/>
      <x:c r="G390"/>
      <x:c r="H390" s="34"/>
      <x:c r="I390" s="34" t="str">
        <x:f>IF(H390="","",IF(G390="역방향",8-H390,H390))</x:f>
      </x:c>
      <x:c r="J390" s="32"/>
      <x:c r="K390" s="32"/>
      <x:c r="L390" s="32"/>
      <x:c r="M390" s="32"/>
    </x:row>
    <x:row r="391">
      <x:c r="A391" s="32"/>
      <x:c r="B391"/>
      <x:c r="C391"/>
      <x:c r="D391"/>
      <x:c r="E391" s="20"/>
      <x:c r="F391"/>
      <x:c r="G391"/>
      <x:c r="H391" s="34"/>
      <x:c r="I391" s="34" t="str">
        <x:f>IF(H391="","",IF(G391="역방향",8-H391,H391))</x:f>
      </x:c>
      <x:c r="J391" s="32"/>
      <x:c r="K391" s="32"/>
      <x:c r="L391" s="32"/>
      <x:c r="M391" s="32"/>
    </x:row>
    <x:row r="392">
      <x:c r="A392" s="32"/>
      <x:c r="B392"/>
      <x:c r="C392"/>
      <x:c r="D392"/>
      <x:c r="E392" s="20"/>
      <x:c r="F392"/>
      <x:c r="G392"/>
      <x:c r="H392" s="34"/>
      <x:c r="I392" s="34" t="str">
        <x:f>IF(H392="","",IF(G392="역방향",8-H392,H392))</x:f>
      </x:c>
      <x:c r="J392" s="32"/>
      <x:c r="K392" s="32"/>
      <x:c r="L392" s="32"/>
      <x:c r="M392" s="32"/>
    </x:row>
    <x:row r="393">
      <x:c r="A393" s="32"/>
      <x:c r="B393"/>
      <x:c r="C393"/>
      <x:c r="D393"/>
      <x:c r="E393" s="20"/>
      <x:c r="F393"/>
      <x:c r="G393"/>
      <x:c r="H393" s="34"/>
      <x:c r="I393" s="34" t="str">
        <x:f>IF(H393="","",IF(G393="역방향",8-H393,H393))</x:f>
      </x:c>
      <x:c r="J393" s="32"/>
      <x:c r="K393" s="32"/>
      <x:c r="L393" s="32"/>
      <x:c r="M393" s="32"/>
    </x:row>
    <x:row r="394">
      <x:c r="A394" s="32"/>
      <x:c r="B394"/>
      <x:c r="C394"/>
      <x:c r="D394"/>
      <x:c r="E394" s="20"/>
      <x:c r="F394"/>
      <x:c r="G394"/>
      <x:c r="H394" s="34"/>
      <x:c r="I394" s="34" t="str">
        <x:f>IF(H394="","",IF(G394="역방향",8-H394,H394))</x:f>
      </x:c>
      <x:c r="J394" s="32"/>
      <x:c r="K394" s="32"/>
      <x:c r="L394" s="32"/>
      <x:c r="M394" s="32"/>
    </x:row>
    <x:row r="395">
      <x:c r="A395" s="32"/>
      <x:c r="B395"/>
      <x:c r="C395"/>
      <x:c r="D395"/>
      <x:c r="E395" s="20"/>
      <x:c r="F395"/>
      <x:c r="G395"/>
      <x:c r="H395" s="34"/>
      <x:c r="I395" s="34" t="str">
        <x:f>IF(H395="","",IF(G395="역방향",8-H395,H395))</x:f>
      </x:c>
      <x:c r="J395" s="32"/>
      <x:c r="K395" s="32"/>
      <x:c r="L395" s="32"/>
      <x:c r="M395" s="32"/>
    </x:row>
    <x:row r="396">
      <x:c r="A396" s="32"/>
      <x:c r="B396"/>
      <x:c r="C396"/>
      <x:c r="D396"/>
      <x:c r="E396" s="20"/>
      <x:c r="F396"/>
      <x:c r="G396"/>
      <x:c r="H396" s="34"/>
      <x:c r="I396" s="34" t="str">
        <x:f>IF(H396="","",IF(G396="역방향",8-H396,H396))</x:f>
      </x:c>
      <x:c r="J396" s="32"/>
      <x:c r="K396" s="32"/>
      <x:c r="L396" s="32"/>
      <x:c r="M396" s="32"/>
    </x:row>
    <x:row r="397">
      <x:c r="A397" s="32"/>
      <x:c r="B397"/>
      <x:c r="C397"/>
      <x:c r="D397"/>
      <x:c r="E397" s="20"/>
      <x:c r="F397"/>
      <x:c r="G397"/>
      <x:c r="H397" s="34"/>
      <x:c r="I397" s="34" t="str">
        <x:f>IF(H397="","",IF(G397="역방향",8-H397,H397))</x:f>
      </x:c>
      <x:c r="J397" s="32"/>
      <x:c r="K397" s="32"/>
      <x:c r="L397" s="32"/>
      <x:c r="M397" s="32"/>
    </x:row>
    <x:row r="398">
      <x:c r="A398" s="32"/>
      <x:c r="B398"/>
      <x:c r="C398"/>
      <x:c r="D398"/>
      <x:c r="E398" s="20"/>
      <x:c r="F398"/>
      <x:c r="G398"/>
      <x:c r="H398" s="34"/>
      <x:c r="I398" s="34" t="str">
        <x:f>IF(H398="","",IF(G398="역방향",8-H398,H398))</x:f>
      </x:c>
      <x:c r="J398" s="32"/>
      <x:c r="K398" s="32"/>
      <x:c r="L398" s="32"/>
      <x:c r="M398" s="32"/>
    </x:row>
    <x:row r="399">
      <x:c r="A399" s="32"/>
      <x:c r="B399"/>
      <x:c r="C399"/>
      <x:c r="D399"/>
      <x:c r="E399" s="20"/>
      <x:c r="F399"/>
      <x:c r="G399"/>
      <x:c r="H399" s="34"/>
      <x:c r="I399" s="34" t="str">
        <x:f>IF(H399="","",IF(G399="역방향",8-H399,H399))</x:f>
      </x:c>
      <x:c r="J399" s="32"/>
      <x:c r="K399" s="32"/>
      <x:c r="L399" s="32"/>
      <x:c r="M399" s="32"/>
    </x:row>
    <x:row r="400">
      <x:c r="A400" s="32"/>
      <x:c r="B400"/>
      <x:c r="C400"/>
      <x:c r="D400"/>
      <x:c r="E400" s="20"/>
      <x:c r="F400"/>
      <x:c r="G400"/>
      <x:c r="H400" s="34"/>
      <x:c r="I400" s="34" t="str">
        <x:f>IF(H400="","",IF(G400="역방향",8-H400,H400))</x:f>
      </x:c>
      <x:c r="J400" s="32"/>
      <x:c r="K400" s="32"/>
      <x:c r="L400" s="32"/>
      <x:c r="M400" s="32"/>
    </x:row>
    <x:row r="401">
      <x:c r="A401" s="32"/>
      <x:c r="B401"/>
      <x:c r="C401"/>
      <x:c r="D401"/>
      <x:c r="E401" s="20"/>
      <x:c r="F401"/>
      <x:c r="G401"/>
      <x:c r="H401" s="34"/>
      <x:c r="I401" s="34" t="str">
        <x:f>IF(H401="","",IF(G401="역방향",8-H401,H401))</x:f>
      </x:c>
      <x:c r="J401" s="32"/>
      <x:c r="K401" s="32"/>
      <x:c r="L401" s="32"/>
      <x:c r="M401" s="32"/>
    </x:row>
    <x:row r="402">
      <x:c r="A402" s="32"/>
      <x:c r="B402"/>
      <x:c r="C402"/>
      <x:c r="D402"/>
      <x:c r="E402" s="20"/>
      <x:c r="F402"/>
      <x:c r="G402"/>
      <x:c r="H402" s="34"/>
      <x:c r="I402" s="34" t="str">
        <x:f>IF(H402="","",IF(G402="역방향",8-H402,H402))</x:f>
      </x:c>
      <x:c r="J402" s="32"/>
      <x:c r="K402" s="32"/>
      <x:c r="L402" s="32"/>
      <x:c r="M402" s="32"/>
    </x:row>
    <x:row r="403">
      <x:c r="A403" s="32"/>
      <x:c r="B403"/>
      <x:c r="C403"/>
      <x:c r="D403"/>
      <x:c r="E403" s="20"/>
      <x:c r="F403"/>
      <x:c r="G403"/>
      <x:c r="H403" s="34"/>
      <x:c r="I403" s="34" t="str">
        <x:f>IF(H403="","",IF(G403="역방향",8-H403,H403))</x:f>
      </x:c>
      <x:c r="J403" s="32"/>
      <x:c r="K403" s="32"/>
      <x:c r="L403" s="32"/>
      <x:c r="M403" s="32"/>
    </x:row>
    <x:row r="404">
      <x:c r="A404" s="32"/>
      <x:c r="B404"/>
      <x:c r="C404"/>
      <x:c r="D404"/>
      <x:c r="E404" s="20"/>
      <x:c r="F404"/>
      <x:c r="G404"/>
      <x:c r="H404" s="34"/>
      <x:c r="I404" s="34" t="str">
        <x:f>IF(H404="","",IF(G404="역방향",8-H404,H404))</x:f>
      </x:c>
      <x:c r="J404" s="32"/>
      <x:c r="K404" s="32"/>
      <x:c r="L404" s="32"/>
      <x:c r="M404" s="32"/>
    </x:row>
    <x:row r="405">
      <x:c r="A405" s="32"/>
      <x:c r="B405"/>
      <x:c r="C405"/>
      <x:c r="D405"/>
      <x:c r="E405" s="20"/>
      <x:c r="F405"/>
      <x:c r="G405"/>
      <x:c r="H405" s="34"/>
      <x:c r="I405" s="34" t="str">
        <x:f>IF(H405="","",IF(G405="역방향",8-H405,H405))</x:f>
      </x:c>
      <x:c r="J405" s="32"/>
      <x:c r="K405" s="32"/>
      <x:c r="L405" s="32"/>
      <x:c r="M405" s="32"/>
    </x:row>
    <x:row r="406">
      <x:c r="A406" s="32"/>
      <x:c r="B406"/>
      <x:c r="C406"/>
      <x:c r="D406"/>
      <x:c r="E406" s="20"/>
      <x:c r="F406"/>
      <x:c r="G406"/>
      <x:c r="H406" s="34"/>
      <x:c r="I406" s="34" t="str">
        <x:f>IF(H406="","",IF(G406="역방향",8-H406,H406))</x:f>
      </x:c>
      <x:c r="J406" s="32"/>
      <x:c r="K406" s="32"/>
      <x:c r="L406" s="32"/>
      <x:c r="M406" s="32"/>
    </x:row>
    <x:row r="407">
      <x:c r="A407" s="32"/>
      <x:c r="B407"/>
      <x:c r="C407"/>
      <x:c r="D407"/>
      <x:c r="E407" s="20"/>
      <x:c r="F407"/>
      <x:c r="G407"/>
      <x:c r="H407" s="34"/>
      <x:c r="I407" s="34" t="str">
        <x:f>IF(H407="","",IF(G407="역방향",8-H407,H407))</x:f>
      </x:c>
      <x:c r="J407" s="32"/>
      <x:c r="K407" s="32"/>
      <x:c r="L407" s="32"/>
      <x:c r="M407" s="32"/>
    </x:row>
    <x:row r="408">
      <x:c r="A408" s="32"/>
      <x:c r="B408"/>
      <x:c r="C408"/>
      <x:c r="D408"/>
      <x:c r="E408" s="20"/>
      <x:c r="F408"/>
      <x:c r="G408"/>
      <x:c r="H408" s="34"/>
      <x:c r="I408" s="34" t="str">
        <x:f>IF(H408="","",IF(G408="역방향",8-H408,H408))</x:f>
      </x:c>
      <x:c r="J408" s="32"/>
      <x:c r="K408" s="32"/>
      <x:c r="L408" s="32"/>
      <x:c r="M408" s="32"/>
    </x:row>
    <x:row r="409">
      <x:c r="A409" s="32"/>
      <x:c r="B409"/>
      <x:c r="C409"/>
      <x:c r="D409"/>
      <x:c r="E409" s="20"/>
      <x:c r="F409"/>
      <x:c r="G409"/>
      <x:c r="H409" s="34"/>
      <x:c r="I409" s="34" t="str">
        <x:f>IF(H409="","",IF(G409="역방향",8-H409,H409))</x:f>
      </x:c>
      <x:c r="J409" s="32"/>
      <x:c r="K409" s="32"/>
      <x:c r="L409" s="32"/>
      <x:c r="M409" s="32"/>
    </x:row>
    <x:row r="410">
      <x:c r="A410" s="32"/>
      <x:c r="B410"/>
      <x:c r="C410"/>
      <x:c r="D410"/>
      <x:c r="E410" s="20"/>
      <x:c r="F410"/>
      <x:c r="G410"/>
      <x:c r="H410" s="34"/>
      <x:c r="I410" s="34" t="str">
        <x:f>IF(H410="","",IF(G410="역방향",8-H410,H410))</x:f>
      </x:c>
      <x:c r="J410" s="32"/>
      <x:c r="K410" s="32"/>
      <x:c r="L410" s="32"/>
      <x:c r="M410" s="32"/>
    </x:row>
    <x:row r="411">
      <x:c r="A411" s="32"/>
      <x:c r="B411"/>
      <x:c r="C411"/>
      <x:c r="D411"/>
      <x:c r="E411" s="20"/>
      <x:c r="F411"/>
      <x:c r="G411"/>
      <x:c r="H411" s="34"/>
      <x:c r="I411" s="34" t="str">
        <x:f>IF(H411="","",IF(G411="역방향",8-H411,H411))</x:f>
      </x:c>
      <x:c r="J411" s="32"/>
      <x:c r="K411" s="32"/>
      <x:c r="L411" s="32"/>
      <x:c r="M411" s="32"/>
    </x:row>
    <x:row r="412">
      <x:c r="A412" s="32"/>
      <x:c r="B412"/>
      <x:c r="C412"/>
      <x:c r="D412"/>
      <x:c r="E412" s="20"/>
      <x:c r="F412"/>
      <x:c r="G412"/>
      <x:c r="H412" s="34"/>
      <x:c r="I412" s="34" t="str">
        <x:f>IF(H412="","",IF(G412="역방향",8-H412,H412))</x:f>
      </x:c>
      <x:c r="J412" s="32"/>
      <x:c r="K412" s="32"/>
      <x:c r="L412" s="32"/>
      <x:c r="M412" s="32"/>
    </x:row>
    <x:row r="413">
      <x:c r="A413" s="32"/>
      <x:c r="B413"/>
      <x:c r="C413"/>
      <x:c r="D413"/>
      <x:c r="E413" s="20"/>
      <x:c r="F413"/>
      <x:c r="G413"/>
      <x:c r="H413" s="34"/>
      <x:c r="I413" s="34" t="str">
        <x:f>IF(H413="","",IF(G413="역방향",8-H413,H413))</x:f>
      </x:c>
      <x:c r="J413" s="32"/>
      <x:c r="K413" s="32"/>
      <x:c r="L413" s="32"/>
      <x:c r="M413" s="32"/>
    </x:row>
    <x:row r="414">
      <x:c r="A414" s="32"/>
      <x:c r="B414"/>
      <x:c r="C414"/>
      <x:c r="D414"/>
      <x:c r="E414" s="20"/>
      <x:c r="F414"/>
      <x:c r="G414"/>
      <x:c r="H414" s="34"/>
      <x:c r="I414" s="34" t="str">
        <x:f>IF(H414="","",IF(G414="역방향",8-H414,H414))</x:f>
      </x:c>
      <x:c r="J414" s="32"/>
      <x:c r="K414" s="32"/>
      <x:c r="L414" s="32"/>
      <x:c r="M414" s="32"/>
    </x:row>
    <x:row r="415">
      <x:c r="A415" s="32"/>
      <x:c r="B415"/>
      <x:c r="C415"/>
      <x:c r="D415"/>
      <x:c r="E415" s="20"/>
      <x:c r="F415"/>
      <x:c r="G415"/>
      <x:c r="H415" s="34"/>
      <x:c r="I415" s="34" t="str">
        <x:f>IF(H415="","",IF(G415="역방향",8-H415,H415))</x:f>
      </x:c>
      <x:c r="J415" s="32"/>
      <x:c r="K415" s="32"/>
      <x:c r="L415" s="32"/>
      <x:c r="M415" s="32"/>
    </x:row>
    <x:row r="416">
      <x:c r="A416" s="32"/>
      <x:c r="B416"/>
      <x:c r="C416"/>
      <x:c r="D416"/>
      <x:c r="E416" s="20"/>
      <x:c r="F416"/>
      <x:c r="G416"/>
      <x:c r="H416" s="34"/>
      <x:c r="I416" s="34" t="str">
        <x:f>IF(H416="","",IF(G416="역방향",8-H416,H416))</x:f>
      </x:c>
      <x:c r="J416" s="32"/>
      <x:c r="K416" s="32"/>
      <x:c r="L416" s="32"/>
      <x:c r="M416" s="32"/>
    </x:row>
    <x:row r="417">
      <x:c r="A417" s="32"/>
      <x:c r="B417"/>
      <x:c r="C417"/>
      <x:c r="D417"/>
      <x:c r="E417" s="20"/>
      <x:c r="F417"/>
      <x:c r="G417"/>
      <x:c r="H417" s="34"/>
      <x:c r="I417" s="34" t="str">
        <x:f>IF(H417="","",IF(G417="역방향",8-H417,H417))</x:f>
      </x:c>
      <x:c r="J417" s="32"/>
      <x:c r="K417" s="32"/>
      <x:c r="L417" s="32"/>
      <x:c r="M417" s="32"/>
    </x:row>
    <x:row r="418">
      <x:c r="A418" s="32"/>
      <x:c r="B418"/>
      <x:c r="C418"/>
      <x:c r="D418"/>
      <x:c r="E418" s="20"/>
      <x:c r="F418"/>
      <x:c r="G418"/>
      <x:c r="H418" s="34"/>
      <x:c r="I418" s="34" t="str">
        <x:f>IF(H418="","",IF(G418="역방향",8-H418,H418))</x:f>
      </x:c>
      <x:c r="J418" s="32"/>
      <x:c r="K418" s="32"/>
      <x:c r="L418" s="32"/>
      <x:c r="M418" s="32"/>
    </x:row>
    <x:row r="419">
      <x:c r="A419" s="32"/>
      <x:c r="B419"/>
      <x:c r="C419"/>
      <x:c r="D419"/>
      <x:c r="E419" s="20"/>
      <x:c r="F419"/>
      <x:c r="G419"/>
      <x:c r="H419" s="34"/>
      <x:c r="I419" s="34" t="str">
        <x:f>IF(H419="","",IF(G419="역방향",8-H419,H419))</x:f>
      </x:c>
      <x:c r="J419" s="32"/>
      <x:c r="K419" s="32"/>
      <x:c r="L419" s="32"/>
      <x:c r="M419" s="32"/>
    </x:row>
    <x:row r="420">
      <x:c r="A420" s="32"/>
      <x:c r="B420"/>
      <x:c r="C420"/>
      <x:c r="D420"/>
      <x:c r="E420" s="20"/>
      <x:c r="F420"/>
      <x:c r="G420"/>
      <x:c r="H420" s="34"/>
      <x:c r="I420" s="34" t="str">
        <x:f>IF(H420="","",IF(G420="역방향",8-H420,H420))</x:f>
      </x:c>
      <x:c r="J420" s="32"/>
      <x:c r="K420" s="32"/>
      <x:c r="L420" s="32"/>
      <x:c r="M420" s="32"/>
    </x:row>
    <x:row r="421">
      <x:c r="A421" s="32"/>
      <x:c r="B421"/>
      <x:c r="C421"/>
      <x:c r="D421"/>
      <x:c r="E421" s="20"/>
      <x:c r="F421"/>
      <x:c r="G421"/>
      <x:c r="H421" s="34"/>
      <x:c r="I421" s="34" t="str">
        <x:f>IF(H421="","",IF(G421="역방향",8-H421,H421))</x:f>
      </x:c>
      <x:c r="J421" s="32"/>
      <x:c r="K421" s="32"/>
      <x:c r="L421" s="32"/>
      <x:c r="M421" s="32"/>
    </x:row>
    <x:row r="422">
      <x:c r="A422" s="32"/>
      <x:c r="B422"/>
      <x:c r="C422"/>
      <x:c r="D422"/>
      <x:c r="E422" s="20"/>
      <x:c r="F422"/>
      <x:c r="G422"/>
      <x:c r="H422" s="34"/>
      <x:c r="I422" s="34" t="str">
        <x:f>IF(H422="","",IF(G422="역방향",8-H422,H422))</x:f>
      </x:c>
      <x:c r="J422" s="32"/>
      <x:c r="K422" s="32"/>
      <x:c r="L422" s="32"/>
      <x:c r="M422" s="32"/>
    </x:row>
    <x:row r="423">
      <x:c r="A423" s="32"/>
      <x:c r="B423"/>
      <x:c r="C423"/>
      <x:c r="D423"/>
      <x:c r="E423" s="20"/>
      <x:c r="F423"/>
      <x:c r="G423"/>
      <x:c r="H423" s="34"/>
      <x:c r="I423" s="34" t="str">
        <x:f>IF(H423="","",IF(G423="역방향",8-H423,H423))</x:f>
      </x:c>
      <x:c r="J423" s="32"/>
      <x:c r="K423" s="32"/>
      <x:c r="L423" s="32"/>
      <x:c r="M423" s="32"/>
    </x:row>
    <x:row r="424">
      <x:c r="A424" s="32"/>
      <x:c r="B424"/>
      <x:c r="C424"/>
      <x:c r="D424"/>
      <x:c r="E424" s="20"/>
      <x:c r="F424"/>
      <x:c r="G424"/>
      <x:c r="H424" s="34"/>
      <x:c r="I424" s="34" t="str">
        <x:f>IF(H424="","",IF(G424="역방향",8-H424,H424))</x:f>
      </x:c>
      <x:c r="J424" s="32"/>
      <x:c r="K424" s="32"/>
      <x:c r="L424" s="32"/>
      <x:c r="M424" s="32"/>
    </x:row>
    <x:row r="425">
      <x:c r="A425" s="32"/>
      <x:c r="B425"/>
      <x:c r="C425"/>
      <x:c r="D425"/>
      <x:c r="E425" s="20"/>
      <x:c r="F425"/>
      <x:c r="G425"/>
      <x:c r="H425" s="34"/>
      <x:c r="I425" s="34" t="str">
        <x:f>IF(H425="","",IF(G425="역방향",8-H425,H425))</x:f>
      </x:c>
      <x:c r="J425" s="32"/>
      <x:c r="K425" s="32"/>
      <x:c r="L425" s="32"/>
      <x:c r="M425" s="32"/>
    </x:row>
    <x:row r="426">
      <x:c r="A426" s="32"/>
      <x:c r="B426"/>
      <x:c r="C426"/>
      <x:c r="D426"/>
      <x:c r="E426" s="20"/>
      <x:c r="F426"/>
      <x:c r="G426"/>
      <x:c r="H426" s="34"/>
      <x:c r="I426" s="34" t="str">
        <x:f>IF(H426="","",IF(G426="역방향",8-H426,H426))</x:f>
      </x:c>
      <x:c r="J426" s="32"/>
      <x:c r="K426" s="32"/>
      <x:c r="L426" s="32"/>
      <x:c r="M426" s="32"/>
    </x:row>
    <x:row r="427">
      <x:c r="A427" s="32"/>
      <x:c r="B427"/>
      <x:c r="C427"/>
      <x:c r="D427"/>
      <x:c r="E427" s="20"/>
      <x:c r="F427"/>
      <x:c r="G427"/>
      <x:c r="H427" s="34"/>
      <x:c r="I427" s="34" t="str">
        <x:f>IF(H427="","",IF(G427="역방향",8-H427,H427))</x:f>
      </x:c>
      <x:c r="J427" s="32"/>
      <x:c r="K427" s="32"/>
      <x:c r="L427" s="32"/>
      <x:c r="M427" s="32"/>
    </x:row>
    <x:row r="428">
      <x:c r="A428" s="32"/>
      <x:c r="B428"/>
      <x:c r="C428"/>
      <x:c r="D428"/>
      <x:c r="E428" s="20"/>
      <x:c r="F428"/>
      <x:c r="G428"/>
      <x:c r="H428" s="34"/>
      <x:c r="I428" s="34" t="str">
        <x:f>IF(H428="","",IF(G428="역방향",8-H428,H428))</x:f>
      </x:c>
      <x:c r="J428" s="32"/>
      <x:c r="K428" s="32"/>
      <x:c r="L428" s="32"/>
      <x:c r="M428" s="32"/>
    </x:row>
    <x:row r="429">
      <x:c r="A429" s="32"/>
      <x:c r="B429"/>
      <x:c r="C429"/>
      <x:c r="D429"/>
      <x:c r="E429" s="20"/>
      <x:c r="F429"/>
      <x:c r="G429"/>
      <x:c r="H429" s="34"/>
      <x:c r="I429" s="34" t="str">
        <x:f>IF(H429="","",IF(G429="역방향",8-H429,H429))</x:f>
      </x:c>
      <x:c r="J429" s="32"/>
      <x:c r="K429" s="32"/>
      <x:c r="L429" s="32"/>
      <x:c r="M429" s="32"/>
    </x:row>
    <x:row r="430">
      <x:c r="A430" s="32"/>
      <x:c r="B430"/>
      <x:c r="C430"/>
      <x:c r="D430"/>
      <x:c r="E430" s="20"/>
      <x:c r="F430"/>
      <x:c r="G430"/>
      <x:c r="H430" s="34"/>
      <x:c r="I430" s="34" t="str">
        <x:f>IF(H430="","",IF(G430="역방향",8-H430,H430))</x:f>
      </x:c>
      <x:c r="J430" s="32"/>
      <x:c r="K430" s="32"/>
      <x:c r="L430" s="32"/>
      <x:c r="M430" s="32"/>
    </x:row>
    <x:row r="431">
      <x:c r="A431" s="32"/>
      <x:c r="B431"/>
      <x:c r="C431"/>
      <x:c r="D431"/>
      <x:c r="E431" s="20"/>
      <x:c r="F431"/>
      <x:c r="G431"/>
      <x:c r="H431" s="34"/>
      <x:c r="I431" s="34" t="str">
        <x:f>IF(H431="","",IF(G431="역방향",8-H431,H431))</x:f>
      </x:c>
      <x:c r="J431" s="32"/>
      <x:c r="K431" s="32"/>
      <x:c r="L431" s="32"/>
      <x:c r="M431" s="32"/>
    </x:row>
    <x:row r="432">
      <x:c r="A432" s="32"/>
      <x:c r="B432"/>
      <x:c r="C432"/>
      <x:c r="D432"/>
      <x:c r="E432" s="20"/>
      <x:c r="F432"/>
      <x:c r="G432"/>
      <x:c r="H432" s="34"/>
      <x:c r="I432" s="34" t="str">
        <x:f>IF(H432="","",IF(G432="역방향",8-H432,H432))</x:f>
      </x:c>
      <x:c r="J432" s="32"/>
      <x:c r="K432" s="32"/>
      <x:c r="L432" s="32"/>
      <x:c r="M432" s="32"/>
    </x:row>
    <x:row r="433">
      <x:c r="A433" s="32"/>
      <x:c r="B433"/>
      <x:c r="C433"/>
      <x:c r="D433"/>
      <x:c r="E433" s="20"/>
      <x:c r="F433"/>
      <x:c r="G433"/>
      <x:c r="H433" s="34"/>
      <x:c r="I433" s="34" t="str">
        <x:f>IF(H433="","",IF(G433="역방향",8-H433,H433))</x:f>
      </x:c>
      <x:c r="J433" s="32"/>
      <x:c r="K433" s="32"/>
      <x:c r="L433" s="32"/>
      <x:c r="M433" s="32"/>
    </x:row>
    <x:row r="434">
      <x:c r="A434" s="32"/>
      <x:c r="B434"/>
      <x:c r="C434"/>
      <x:c r="D434"/>
      <x:c r="E434" s="20"/>
      <x:c r="F434"/>
      <x:c r="G434"/>
      <x:c r="H434" s="34"/>
      <x:c r="I434" s="34" t="str">
        <x:f>IF(H434="","",IF(G434="역방향",8-H434,H434))</x:f>
      </x:c>
      <x:c r="J434" s="32"/>
      <x:c r="K434" s="32"/>
      <x:c r="L434" s="32"/>
      <x:c r="M434" s="32"/>
    </x:row>
    <x:row r="435">
      <x:c r="A435" s="32"/>
      <x:c r="B435"/>
      <x:c r="C435"/>
      <x:c r="D435"/>
      <x:c r="E435" s="20"/>
      <x:c r="F435"/>
      <x:c r="G435"/>
      <x:c r="H435" s="34"/>
      <x:c r="I435" s="34" t="str">
        <x:f>IF(H435="","",IF(G435="역방향",8-H435,H435))</x:f>
      </x:c>
      <x:c r="J435" s="32"/>
      <x:c r="K435" s="32"/>
      <x:c r="L435" s="32"/>
      <x:c r="M435" s="32"/>
    </x:row>
    <x:row r="436">
      <x:c r="A436" s="32"/>
      <x:c r="B436"/>
      <x:c r="C436"/>
      <x:c r="D436"/>
      <x:c r="E436" s="20"/>
      <x:c r="F436"/>
      <x:c r="G436"/>
      <x:c r="H436" s="34"/>
      <x:c r="I436" s="34" t="str">
        <x:f>IF(H436="","",IF(G436="역방향",8-H436,H436))</x:f>
      </x:c>
      <x:c r="J436" s="32"/>
      <x:c r="K436" s="32"/>
      <x:c r="L436" s="32"/>
      <x:c r="M436" s="32"/>
    </x:row>
    <x:row r="437">
      <x:c r="A437" s="32"/>
      <x:c r="B437"/>
      <x:c r="C437"/>
      <x:c r="D437"/>
      <x:c r="E437" s="20"/>
      <x:c r="F437"/>
      <x:c r="G437"/>
      <x:c r="H437" s="34"/>
      <x:c r="I437" s="34" t="str">
        <x:f>IF(H437="","",IF(G437="역방향",8-H437,H437))</x:f>
      </x:c>
      <x:c r="J437" s="32"/>
      <x:c r="K437" s="32"/>
      <x:c r="L437" s="32"/>
      <x:c r="M437" s="32"/>
    </x:row>
    <x:row r="438">
      <x:c r="A438" s="32"/>
      <x:c r="B438"/>
      <x:c r="C438"/>
      <x:c r="D438"/>
      <x:c r="E438" s="20"/>
      <x:c r="F438"/>
      <x:c r="G438"/>
      <x:c r="H438" s="34"/>
      <x:c r="I438" s="34" t="str">
        <x:f>IF(H438="","",IF(G438="역방향",8-H438,H438))</x:f>
      </x:c>
      <x:c r="J438" s="32"/>
      <x:c r="K438" s="32"/>
      <x:c r="L438" s="32"/>
      <x:c r="M438" s="32"/>
    </x:row>
    <x:row r="439">
      <x:c r="A439" s="32"/>
      <x:c r="B439"/>
      <x:c r="C439"/>
      <x:c r="D439"/>
      <x:c r="E439" s="20"/>
      <x:c r="F439"/>
      <x:c r="G439"/>
      <x:c r="H439" s="34"/>
      <x:c r="I439" s="34" t="str">
        <x:f>IF(H439="","",IF(G439="역방향",8-H439,H439))</x:f>
      </x:c>
      <x:c r="J439" s="32"/>
      <x:c r="K439" s="32"/>
      <x:c r="L439" s="32"/>
      <x:c r="M439" s="32"/>
    </x:row>
    <x:row r="440">
      <x:c r="A440" s="32"/>
      <x:c r="B440"/>
      <x:c r="C440"/>
      <x:c r="D440"/>
      <x:c r="E440" s="20"/>
      <x:c r="F440"/>
      <x:c r="G440"/>
      <x:c r="H440" s="34"/>
      <x:c r="I440" s="34" t="str">
        <x:f>IF(H440="","",IF(G440="역방향",8-H440,H440))</x:f>
      </x:c>
      <x:c r="J440" s="32"/>
      <x:c r="K440" s="32"/>
      <x:c r="L440" s="32"/>
      <x:c r="M440" s="32"/>
    </x:row>
    <x:row r="441">
      <x:c r="A441" s="32"/>
      <x:c r="B441"/>
      <x:c r="C441"/>
      <x:c r="D441"/>
      <x:c r="E441" s="20"/>
      <x:c r="F441"/>
      <x:c r="G441"/>
      <x:c r="H441" s="34"/>
      <x:c r="I441" s="34" t="str">
        <x:f>IF(H441="","",IF(G441="역방향",8-H441,H441))</x:f>
      </x:c>
      <x:c r="J441" s="32"/>
      <x:c r="K441" s="32"/>
      <x:c r="L441" s="32"/>
      <x:c r="M441" s="32"/>
    </x:row>
    <x:row r="442">
      <x:c r="A442" s="32"/>
      <x:c r="B442"/>
      <x:c r="C442"/>
      <x:c r="D442"/>
      <x:c r="E442" s="20"/>
      <x:c r="F442"/>
      <x:c r="G442"/>
      <x:c r="H442" s="34"/>
      <x:c r="I442" s="34" t="str">
        <x:f>IF(H442="","",IF(G442="역방향",8-H442,H442))</x:f>
      </x:c>
      <x:c r="J442" s="32"/>
      <x:c r="K442" s="32"/>
      <x:c r="L442" s="32"/>
      <x:c r="M442" s="32"/>
    </x:row>
    <x:row r="443">
      <x:c r="A443" s="32"/>
      <x:c r="B443"/>
      <x:c r="C443"/>
      <x:c r="D443"/>
      <x:c r="E443" s="20"/>
      <x:c r="F443"/>
      <x:c r="G443"/>
      <x:c r="H443" s="34"/>
      <x:c r="I443" s="34" t="str">
        <x:f>IF(H443="","",IF(G443="역방향",8-H443,H443))</x:f>
      </x:c>
      <x:c r="J443" s="32"/>
      <x:c r="K443" s="32"/>
      <x:c r="L443" s="32"/>
      <x:c r="M443" s="32"/>
    </x:row>
    <x:row r="444">
      <x:c r="A444" s="32"/>
      <x:c r="B444"/>
      <x:c r="C444"/>
      <x:c r="D444"/>
      <x:c r="E444" s="20"/>
      <x:c r="F444"/>
      <x:c r="G444"/>
      <x:c r="H444" s="34"/>
      <x:c r="I444" s="34" t="str">
        <x:f>IF(H444="","",IF(G444="역방향",8-H444,H444))</x:f>
      </x:c>
      <x:c r="J444" s="32"/>
      <x:c r="K444" s="32"/>
      <x:c r="L444" s="32"/>
      <x:c r="M444" s="32"/>
    </x:row>
    <x:row r="445">
      <x:c r="A445" s="32"/>
      <x:c r="B445"/>
      <x:c r="C445"/>
      <x:c r="D445"/>
      <x:c r="E445" s="20"/>
      <x:c r="F445"/>
      <x:c r="G445"/>
      <x:c r="H445" s="34"/>
      <x:c r="I445" s="34" t="str">
        <x:f>IF(H445="","",IF(G445="역방향",8-H445,H445))</x:f>
      </x:c>
      <x:c r="J445" s="32"/>
      <x:c r="K445" s="32"/>
      <x:c r="L445" s="32"/>
      <x:c r="M445" s="32"/>
    </x:row>
    <x:row r="446">
      <x:c r="A446" s="32"/>
      <x:c r="B446"/>
      <x:c r="C446"/>
      <x:c r="D446"/>
      <x:c r="E446" s="20"/>
      <x:c r="F446"/>
      <x:c r="G446"/>
      <x:c r="H446" s="34"/>
      <x:c r="I446" s="34" t="str">
        <x:f>IF(H446="","",IF(G446="역방향",8-H446,H446))</x:f>
      </x:c>
      <x:c r="J446" s="32"/>
      <x:c r="K446" s="32"/>
      <x:c r="L446" s="32"/>
      <x:c r="M446" s="32"/>
    </x:row>
    <x:row r="447">
      <x:c r="A447" s="32"/>
      <x:c r="B447"/>
      <x:c r="C447"/>
      <x:c r="D447"/>
      <x:c r="E447" s="20"/>
      <x:c r="F447"/>
      <x:c r="G447"/>
      <x:c r="H447" s="34"/>
      <x:c r="I447" s="34" t="str">
        <x:f>IF(H447="","",IF(G447="역방향",8-H447,H447))</x:f>
      </x:c>
      <x:c r="J447" s="32"/>
      <x:c r="K447" s="32"/>
      <x:c r="L447" s="32"/>
      <x:c r="M447" s="32"/>
    </x:row>
    <x:row r="448">
      <x:c r="A448" s="32"/>
      <x:c r="B448"/>
      <x:c r="C448"/>
      <x:c r="D448"/>
      <x:c r="E448" s="20"/>
      <x:c r="F448"/>
      <x:c r="G448"/>
      <x:c r="H448" s="34"/>
      <x:c r="I448" s="34" t="str">
        <x:f>IF(H448="","",IF(G448="역방향",8-H448,H448))</x:f>
      </x:c>
      <x:c r="J448" s="32"/>
      <x:c r="K448" s="32"/>
      <x:c r="L448" s="32"/>
      <x:c r="M448" s="32"/>
    </x:row>
    <x:row r="449">
      <x:c r="A449" s="32"/>
      <x:c r="B449"/>
      <x:c r="C449"/>
      <x:c r="D449"/>
      <x:c r="E449" s="20"/>
      <x:c r="F449"/>
      <x:c r="G449"/>
      <x:c r="H449" s="34"/>
      <x:c r="I449" s="34" t="str">
        <x:f>IF(H449="","",IF(G449="역방향",8-H449,H449))</x:f>
      </x:c>
      <x:c r="J449" s="32"/>
      <x:c r="K449" s="32"/>
      <x:c r="L449" s="32"/>
      <x:c r="M449" s="32"/>
    </x:row>
    <x:row r="450">
      <x:c r="A450" s="32"/>
      <x:c r="B450"/>
      <x:c r="C450"/>
      <x:c r="D450"/>
      <x:c r="E450" s="20"/>
      <x:c r="F450"/>
      <x:c r="G450"/>
      <x:c r="H450" s="34"/>
      <x:c r="I450" s="34" t="str">
        <x:f>IF(H450="","",IF(G450="역방향",8-H450,H450))</x:f>
      </x:c>
      <x:c r="J450" s="32"/>
      <x:c r="K450" s="32"/>
      <x:c r="L450" s="32"/>
      <x:c r="M450" s="32"/>
    </x:row>
    <x:row r="451">
      <x:c r="A451" s="32"/>
      <x:c r="B451"/>
      <x:c r="C451"/>
      <x:c r="D451"/>
      <x:c r="E451" s="20"/>
      <x:c r="F451"/>
      <x:c r="G451"/>
      <x:c r="H451" s="34"/>
      <x:c r="I451" s="34" t="str">
        <x:f>IF(H451="","",IF(G451="역방향",8-H451,H451))</x:f>
      </x:c>
      <x:c r="J451" s="32"/>
      <x:c r="K451" s="32"/>
      <x:c r="L451" s="32"/>
      <x:c r="M451" s="32"/>
    </x:row>
    <x:row r="452">
      <x:c r="A452" s="32"/>
      <x:c r="B452"/>
      <x:c r="C452"/>
      <x:c r="D452"/>
      <x:c r="E452" s="20"/>
      <x:c r="F452"/>
      <x:c r="G452"/>
      <x:c r="H452" s="34"/>
      <x:c r="I452" s="34" t="str">
        <x:f>IF(H452="","",IF(G452="역방향",8-H452,H452))</x:f>
      </x:c>
      <x:c r="J452" s="32"/>
      <x:c r="K452" s="32"/>
      <x:c r="L452" s="32"/>
      <x:c r="M452" s="32"/>
    </x:row>
    <x:row r="453">
      <x:c r="A453" s="32"/>
      <x:c r="B453"/>
      <x:c r="C453"/>
      <x:c r="D453"/>
      <x:c r="E453" s="20"/>
      <x:c r="F453"/>
      <x:c r="G453"/>
      <x:c r="H453" s="34"/>
      <x:c r="I453" s="34" t="str">
        <x:f>IF(H453="","",IF(G453="역방향",8-H453,H453))</x:f>
      </x:c>
      <x:c r="J453" s="32"/>
      <x:c r="K453" s="32"/>
      <x:c r="L453" s="32"/>
      <x:c r="M453" s="32"/>
    </x:row>
    <x:row r="454">
      <x:c r="A454" s="32"/>
      <x:c r="B454"/>
      <x:c r="C454"/>
      <x:c r="D454"/>
      <x:c r="E454" s="20"/>
      <x:c r="F454"/>
      <x:c r="G454"/>
      <x:c r="H454" s="34"/>
      <x:c r="I454" s="34" t="str">
        <x:f>IF(H454="","",IF(G454="역방향",8-H454,H454))</x:f>
      </x:c>
      <x:c r="J454" s="32"/>
      <x:c r="K454" s="32"/>
      <x:c r="L454" s="32"/>
      <x:c r="M454" s="32"/>
    </x:row>
    <x:row r="455">
      <x:c r="A455" s="32"/>
      <x:c r="B455"/>
      <x:c r="C455"/>
      <x:c r="D455"/>
      <x:c r="E455" s="20"/>
      <x:c r="F455"/>
      <x:c r="G455"/>
      <x:c r="H455" s="34"/>
      <x:c r="I455" s="34" t="str">
        <x:f>IF(H455="","",IF(G455="역방향",8-H455,H455))</x:f>
      </x:c>
      <x:c r="J455" s="32"/>
      <x:c r="K455" s="32"/>
      <x:c r="L455" s="32"/>
      <x:c r="M455" s="32"/>
    </x:row>
    <x:row r="456">
      <x:c r="A456" s="32"/>
      <x:c r="B456"/>
      <x:c r="C456"/>
      <x:c r="D456"/>
      <x:c r="E456" s="20"/>
      <x:c r="F456"/>
      <x:c r="G456"/>
      <x:c r="H456" s="34"/>
      <x:c r="I456" s="34" t="str">
        <x:f>IF(H456="","",IF(G456="역방향",8-H456,H456))</x:f>
      </x:c>
      <x:c r="J456" s="32"/>
      <x:c r="K456" s="32"/>
      <x:c r="L456" s="32"/>
      <x:c r="M456" s="32"/>
    </x:row>
    <x:row r="457">
      <x:c r="A457" s="32"/>
      <x:c r="B457"/>
      <x:c r="C457"/>
      <x:c r="D457"/>
      <x:c r="E457" s="20"/>
      <x:c r="F457"/>
      <x:c r="G457"/>
      <x:c r="H457" s="34"/>
      <x:c r="I457" s="34" t="str">
        <x:f>IF(H457="","",IF(G457="역방향",8-H457,H457))</x:f>
      </x:c>
      <x:c r="J457" s="32"/>
      <x:c r="K457" s="32"/>
      <x:c r="L457" s="32"/>
      <x:c r="M457" s="32"/>
    </x:row>
    <x:row r="458">
      <x:c r="A458" s="32"/>
      <x:c r="B458"/>
      <x:c r="C458"/>
      <x:c r="D458"/>
      <x:c r="E458" s="20"/>
      <x:c r="F458"/>
      <x:c r="G458"/>
      <x:c r="H458" s="34"/>
      <x:c r="I458" s="34" t="str">
        <x:f>IF(H458="","",IF(G458="역방향",8-H458,H458))</x:f>
      </x:c>
      <x:c r="J458" s="32"/>
      <x:c r="K458" s="32"/>
      <x:c r="L458" s="32"/>
      <x:c r="M458" s="32"/>
    </x:row>
    <x:row r="459">
      <x:c r="A459" s="32"/>
      <x:c r="B459"/>
      <x:c r="C459"/>
      <x:c r="D459"/>
      <x:c r="E459" s="20"/>
      <x:c r="F459"/>
      <x:c r="G459"/>
      <x:c r="H459" s="34"/>
      <x:c r="I459" s="34" t="str">
        <x:f>IF(H459="","",IF(G459="역방향",8-H459,H459))</x:f>
      </x:c>
      <x:c r="J459" s="32"/>
      <x:c r="K459" s="32"/>
      <x:c r="L459" s="32"/>
      <x:c r="M459" s="32"/>
    </x:row>
    <x:row r="460">
      <x:c r="A460" s="32"/>
      <x:c r="B460"/>
      <x:c r="C460"/>
      <x:c r="D460"/>
      <x:c r="E460" s="20"/>
      <x:c r="F460"/>
      <x:c r="G460"/>
      <x:c r="H460" s="34"/>
      <x:c r="I460" s="34" t="str">
        <x:f>IF(H460="","",IF(G460="역방향",8-H460,H460))</x:f>
      </x:c>
      <x:c r="J460" s="32"/>
      <x:c r="K460" s="32"/>
      <x:c r="L460" s="32"/>
      <x:c r="M460" s="32"/>
    </x:row>
    <x:row r="461">
      <x:c r="A461" s="32"/>
      <x:c r="B461"/>
      <x:c r="C461"/>
      <x:c r="D461"/>
      <x:c r="E461" s="20"/>
      <x:c r="F461"/>
      <x:c r="G461"/>
      <x:c r="H461" s="34"/>
      <x:c r="I461" s="34" t="str">
        <x:f>IF(H461="","",IF(G461="역방향",8-H461,H461))</x:f>
      </x:c>
      <x:c r="J461" s="32"/>
      <x:c r="K461" s="32"/>
      <x:c r="L461" s="32"/>
      <x:c r="M461" s="32"/>
    </x:row>
    <x:row r="462">
      <x:c r="A462" s="32"/>
      <x:c r="B462"/>
      <x:c r="C462"/>
      <x:c r="D462"/>
      <x:c r="E462" s="20"/>
      <x:c r="F462"/>
      <x:c r="G462"/>
      <x:c r="H462" s="34"/>
      <x:c r="I462" s="34" t="str">
        <x:f>IF(H462="","",IF(G462="역방향",8-H462,H462))</x:f>
      </x:c>
      <x:c r="J462" s="32"/>
      <x:c r="K462" s="32"/>
      <x:c r="L462" s="32"/>
      <x:c r="M462" s="32"/>
    </x:row>
    <x:row r="463">
      <x:c r="A463" s="32"/>
      <x:c r="B463"/>
      <x:c r="C463"/>
      <x:c r="D463"/>
      <x:c r="E463" s="20"/>
      <x:c r="F463"/>
      <x:c r="G463"/>
      <x:c r="H463" s="34"/>
      <x:c r="I463" s="34" t="str">
        <x:f>IF(H463="","",IF(G463="역방향",8-H463,H463))</x:f>
      </x:c>
      <x:c r="J463" s="32"/>
      <x:c r="K463" s="32"/>
      <x:c r="L463" s="32"/>
      <x:c r="M463" s="32"/>
    </x:row>
    <x:row r="464">
      <x:c r="A464" s="32"/>
      <x:c r="B464"/>
      <x:c r="C464"/>
      <x:c r="D464"/>
      <x:c r="E464" s="20"/>
      <x:c r="F464"/>
      <x:c r="G464"/>
      <x:c r="H464" s="34"/>
      <x:c r="I464" s="34" t="str">
        <x:f>IF(H464="","",IF(G464="역방향",8-H464,H464))</x:f>
      </x:c>
      <x:c r="J464" s="32"/>
      <x:c r="K464" s="32"/>
      <x:c r="L464" s="32"/>
      <x:c r="M464" s="32"/>
    </x:row>
    <x:row r="465">
      <x:c r="A465" s="32"/>
      <x:c r="B465"/>
      <x:c r="C465"/>
      <x:c r="D465"/>
      <x:c r="E465" s="20"/>
      <x:c r="F465"/>
      <x:c r="G465"/>
      <x:c r="H465" s="34"/>
      <x:c r="I465" s="34" t="str">
        <x:f>IF(H465="","",IF(G465="역방향",8-H465,H465))</x:f>
      </x:c>
      <x:c r="J465" s="32"/>
      <x:c r="K465" s="32"/>
      <x:c r="L465" s="32"/>
      <x:c r="M465" s="32"/>
    </x:row>
    <x:row r="466">
      <x:c r="A466" s="32"/>
      <x:c r="B466"/>
      <x:c r="C466"/>
      <x:c r="D466"/>
      <x:c r="E466" s="20"/>
      <x:c r="F466"/>
      <x:c r="G466"/>
      <x:c r="H466" s="34"/>
      <x:c r="I466" s="34" t="str">
        <x:f>IF(H466="","",IF(G466="역방향",8-H466,H466))</x:f>
      </x:c>
      <x:c r="J466" s="32"/>
      <x:c r="K466" s="32"/>
      <x:c r="L466" s="32"/>
      <x:c r="M466" s="32"/>
    </x:row>
    <x:row r="467">
      <x:c r="A467" s="32"/>
      <x:c r="B467"/>
      <x:c r="C467"/>
      <x:c r="D467"/>
      <x:c r="E467" s="20"/>
      <x:c r="F467"/>
      <x:c r="G467"/>
      <x:c r="H467" s="34"/>
      <x:c r="I467" s="34" t="str">
        <x:f>IF(H467="","",IF(G467="역방향",8-H467,H467))</x:f>
      </x:c>
      <x:c r="J467" s="32"/>
      <x:c r="K467" s="32"/>
      <x:c r="L467" s="32"/>
      <x:c r="M467" s="32"/>
    </x:row>
    <x:row r="468">
      <x:c r="A468" s="32"/>
      <x:c r="B468"/>
      <x:c r="C468"/>
      <x:c r="D468"/>
      <x:c r="E468" s="20"/>
      <x:c r="F468"/>
      <x:c r="G468"/>
      <x:c r="H468" s="34"/>
      <x:c r="I468" s="34" t="str">
        <x:f>IF(H468="","",IF(G468="역방향",8-H468,H468))</x:f>
      </x:c>
      <x:c r="J468" s="32"/>
      <x:c r="K468" s="32"/>
      <x:c r="L468" s="32"/>
      <x:c r="M468" s="32"/>
    </x:row>
    <x:row r="469">
      <x:c r="A469" s="32"/>
      <x:c r="B469"/>
      <x:c r="C469"/>
      <x:c r="D469"/>
      <x:c r="E469" s="20"/>
      <x:c r="F469"/>
      <x:c r="G469"/>
      <x:c r="H469" s="34"/>
      <x:c r="I469" s="34" t="str">
        <x:f>IF(H469="","",IF(G469="역방향",8-H469,H469))</x:f>
      </x:c>
      <x:c r="J469" s="32"/>
      <x:c r="K469" s="32"/>
      <x:c r="L469" s="32"/>
      <x:c r="M469" s="32"/>
    </x:row>
    <x:row r="470">
      <x:c r="A470" s="32"/>
      <x:c r="B470"/>
      <x:c r="C470"/>
      <x:c r="D470"/>
      <x:c r="E470" s="20"/>
      <x:c r="F470"/>
      <x:c r="G470"/>
      <x:c r="H470" s="34"/>
      <x:c r="I470" s="34" t="str">
        <x:f>IF(H470="","",IF(G470="역방향",8-H470,H470))</x:f>
      </x:c>
      <x:c r="J470" s="32"/>
      <x:c r="K470" s="32"/>
      <x:c r="L470" s="32"/>
      <x:c r="M470" s="32"/>
    </x:row>
    <x:row r="471">
      <x:c r="A471" s="32"/>
      <x:c r="B471"/>
      <x:c r="C471"/>
      <x:c r="D471"/>
      <x:c r="E471" s="20"/>
      <x:c r="F471"/>
      <x:c r="G471"/>
      <x:c r="H471" s="34"/>
      <x:c r="I471" s="34" t="str">
        <x:f>IF(H471="","",IF(G471="역방향",8-H471,H471))</x:f>
      </x:c>
      <x:c r="J471" s="32"/>
      <x:c r="K471" s="32"/>
      <x:c r="L471" s="32"/>
      <x:c r="M471" s="32"/>
    </x:row>
    <x:row r="472">
      <x:c r="A472" s="32"/>
      <x:c r="B472"/>
      <x:c r="C472"/>
      <x:c r="D472"/>
      <x:c r="E472" s="20"/>
      <x:c r="F472"/>
      <x:c r="G472"/>
      <x:c r="H472" s="34"/>
      <x:c r="I472" s="34" t="str">
        <x:f>IF(H472="","",IF(G472="역방향",8-H472,H472))</x:f>
      </x:c>
      <x:c r="J472" s="32"/>
      <x:c r="K472" s="32"/>
      <x:c r="L472" s="32"/>
      <x:c r="M472" s="32"/>
    </x:row>
    <x:row r="473">
      <x:c r="A473" s="32"/>
      <x:c r="B473"/>
      <x:c r="C473"/>
      <x:c r="D473"/>
      <x:c r="E473" s="20"/>
      <x:c r="F473"/>
      <x:c r="G473"/>
      <x:c r="H473" s="34"/>
      <x:c r="I473" s="34" t="str">
        <x:f>IF(H473="","",IF(G473="역방향",8-H473,H473))</x:f>
      </x:c>
      <x:c r="J473" s="32"/>
      <x:c r="K473" s="32"/>
      <x:c r="L473" s="32"/>
      <x:c r="M473" s="32"/>
    </x:row>
    <x:row r="474">
      <x:c r="A474" s="32"/>
      <x:c r="B474"/>
      <x:c r="C474"/>
      <x:c r="D474"/>
      <x:c r="E474" s="20"/>
      <x:c r="F474"/>
      <x:c r="G474"/>
      <x:c r="H474" s="34"/>
      <x:c r="I474" s="34" t="str">
        <x:f>IF(H474="","",IF(G474="역방향",8-H474,H474))</x:f>
      </x:c>
      <x:c r="J474" s="32"/>
      <x:c r="K474" s="32"/>
      <x:c r="L474" s="32"/>
      <x:c r="M474" s="32"/>
    </x:row>
    <x:row r="475">
      <x:c r="A475" s="32"/>
      <x:c r="B475"/>
      <x:c r="C475"/>
      <x:c r="D475"/>
      <x:c r="E475" s="20"/>
      <x:c r="F475"/>
      <x:c r="G475"/>
      <x:c r="H475" s="34"/>
      <x:c r="I475" s="34" t="str">
        <x:f>IF(H475="","",IF(G475="역방향",8-H475,H475))</x:f>
      </x:c>
      <x:c r="J475" s="32"/>
      <x:c r="K475" s="32"/>
      <x:c r="L475" s="32"/>
      <x:c r="M475" s="32"/>
    </x:row>
    <x:row r="476">
      <x:c r="A476" s="32"/>
      <x:c r="B476"/>
      <x:c r="C476"/>
      <x:c r="D476"/>
      <x:c r="E476" s="20"/>
      <x:c r="F476"/>
      <x:c r="G476"/>
      <x:c r="H476" s="34"/>
      <x:c r="I476" s="34" t="str">
        <x:f>IF(H476="","",IF(G476="역방향",8-H476,H476))</x:f>
      </x:c>
      <x:c r="J476" s="32"/>
      <x:c r="K476" s="32"/>
      <x:c r="L476" s="32"/>
      <x:c r="M476" s="32"/>
    </x:row>
    <x:row r="477">
      <x:c r="A477" s="32"/>
      <x:c r="B477"/>
      <x:c r="C477"/>
      <x:c r="D477"/>
      <x:c r="E477" s="20"/>
      <x:c r="F477"/>
      <x:c r="G477"/>
      <x:c r="H477" s="34"/>
      <x:c r="I477" s="34" t="str">
        <x:f>IF(H477="","",IF(G477="역방향",8-H477,H477))</x:f>
      </x:c>
      <x:c r="J477" s="32"/>
      <x:c r="K477" s="32"/>
      <x:c r="L477" s="32"/>
      <x:c r="M477" s="32"/>
    </x:row>
    <x:row r="478">
      <x:c r="A478" s="32"/>
      <x:c r="B478"/>
      <x:c r="C478"/>
      <x:c r="D478"/>
      <x:c r="E478" s="20"/>
      <x:c r="F478"/>
      <x:c r="G478"/>
      <x:c r="H478" s="34"/>
      <x:c r="I478" s="34" t="str">
        <x:f>IF(H478="","",IF(G478="역방향",8-H478,H478))</x:f>
      </x:c>
      <x:c r="J478" s="32"/>
      <x:c r="K478" s="32"/>
      <x:c r="L478" s="32"/>
      <x:c r="M478" s="32"/>
    </x:row>
    <x:row r="479">
      <x:c r="A479" s="32"/>
      <x:c r="B479"/>
      <x:c r="C479"/>
      <x:c r="D479"/>
      <x:c r="E479" s="20"/>
      <x:c r="F479"/>
      <x:c r="G479"/>
      <x:c r="H479" s="34"/>
      <x:c r="I479" s="34" t="str">
        <x:f>IF(H479="","",IF(G479="역방향",8-H479,H479))</x:f>
      </x:c>
      <x:c r="J479" s="32"/>
      <x:c r="K479" s="32"/>
      <x:c r="L479" s="32"/>
      <x:c r="M479" s="32"/>
    </x:row>
    <x:row r="480">
      <x:c r="A480" s="32"/>
      <x:c r="B480"/>
      <x:c r="C480"/>
      <x:c r="D480"/>
      <x:c r="E480" s="20"/>
      <x:c r="F480"/>
      <x:c r="G480"/>
      <x:c r="H480" s="34"/>
      <x:c r="I480" s="34" t="str">
        <x:f>IF(H480="","",IF(G480="역방향",8-H480,H480))</x:f>
      </x:c>
      <x:c r="J480" s="32"/>
      <x:c r="K480" s="32"/>
      <x:c r="L480" s="32"/>
      <x:c r="M480" s="32"/>
    </x:row>
    <x:row r="481">
      <x:c r="A481" s="32"/>
      <x:c r="B481"/>
      <x:c r="C481"/>
      <x:c r="D481"/>
      <x:c r="E481" s="20"/>
      <x:c r="F481"/>
      <x:c r="G481"/>
      <x:c r="H481" s="34"/>
      <x:c r="I481" s="34" t="str">
        <x:f>IF(H481="","",IF(G481="역방향",8-H481,H481))</x:f>
      </x:c>
      <x:c r="J481" s="32"/>
      <x:c r="K481" s="32"/>
      <x:c r="L481" s="32"/>
      <x:c r="M481" s="32"/>
    </x:row>
    <x:row r="482">
      <x:c r="A482" s="32"/>
      <x:c r="B482"/>
      <x:c r="C482"/>
      <x:c r="D482"/>
      <x:c r="E482" s="20"/>
      <x:c r="F482"/>
      <x:c r="G482"/>
      <x:c r="H482" s="34"/>
      <x:c r="I482" s="34" t="str">
        <x:f>IF(H482="","",IF(G482="역방향",8-H482,H482))</x:f>
      </x:c>
      <x:c r="J482" s="32"/>
      <x:c r="K482" s="32"/>
      <x:c r="L482" s="32"/>
      <x:c r="M482" s="32"/>
    </x:row>
    <x:row r="483">
      <x:c r="A483" s="32"/>
      <x:c r="B483"/>
      <x:c r="C483"/>
      <x:c r="D483"/>
      <x:c r="E483" s="20"/>
      <x:c r="F483"/>
      <x:c r="G483"/>
      <x:c r="H483" s="34"/>
      <x:c r="I483" s="34" t="str">
        <x:f>IF(H483="","",IF(G483="역방향",8-H483,H483))</x:f>
      </x:c>
      <x:c r="J483" s="32"/>
      <x:c r="K483" s="32"/>
      <x:c r="L483" s="32"/>
      <x:c r="M483" s="32"/>
    </x:row>
    <x:row r="484">
      <x:c r="A484" s="32"/>
      <x:c r="B484"/>
      <x:c r="C484"/>
      <x:c r="D484"/>
      <x:c r="E484" s="20"/>
      <x:c r="F484"/>
      <x:c r="G484"/>
      <x:c r="H484" s="34"/>
      <x:c r="I484" s="34" t="str">
        <x:f>IF(H484="","",IF(G484="역방향",8-H484,H484))</x:f>
      </x:c>
      <x:c r="J484" s="32"/>
      <x:c r="K484" s="32"/>
      <x:c r="L484" s="32"/>
      <x:c r="M484" s="32"/>
    </x:row>
    <x:row r="485">
      <x:c r="A485" s="32"/>
      <x:c r="B485"/>
      <x:c r="C485"/>
      <x:c r="D485"/>
      <x:c r="E485" s="20"/>
      <x:c r="F485"/>
      <x:c r="G485"/>
      <x:c r="H485" s="34"/>
      <x:c r="I485" s="34" t="str">
        <x:f>IF(H485="","",IF(G485="역방향",8-H485,H485))</x:f>
      </x:c>
      <x:c r="J485" s="32"/>
      <x:c r="K485" s="32"/>
      <x:c r="L485" s="32"/>
      <x:c r="M485" s="32"/>
    </x:row>
    <x:row r="486">
      <x:c r="A486" s="32"/>
      <x:c r="B486"/>
      <x:c r="C486"/>
      <x:c r="D486"/>
      <x:c r="E486" s="20"/>
      <x:c r="F486"/>
      <x:c r="G486"/>
      <x:c r="H486" s="34"/>
      <x:c r="I486" s="34" t="str">
        <x:f>IF(H486="","",IF(G486="역방향",8-H486,H486))</x:f>
      </x:c>
      <x:c r="J486" s="32"/>
      <x:c r="K486" s="32"/>
      <x:c r="L486" s="32"/>
      <x:c r="M486" s="32"/>
    </x:row>
    <x:row r="487">
      <x:c r="A487" s="32"/>
      <x:c r="B487"/>
      <x:c r="C487"/>
      <x:c r="D487"/>
      <x:c r="E487" s="20"/>
      <x:c r="F487"/>
      <x:c r="G487"/>
      <x:c r="H487" s="34"/>
      <x:c r="I487" s="34" t="str">
        <x:f>IF(H487="","",IF(G487="역방향",8-H487,H487))</x:f>
      </x:c>
      <x:c r="J487" s="32"/>
      <x:c r="K487" s="32"/>
      <x:c r="L487" s="32"/>
      <x:c r="M487" s="32"/>
    </x:row>
    <x:row r="488">
      <x:c r="A488" s="32"/>
      <x:c r="B488"/>
      <x:c r="C488"/>
      <x:c r="D488"/>
      <x:c r="E488" s="20"/>
      <x:c r="F488"/>
      <x:c r="G488"/>
      <x:c r="H488" s="34"/>
      <x:c r="I488" s="34" t="str">
        <x:f>IF(H488="","",IF(G488="역방향",8-H488,H488))</x:f>
      </x:c>
      <x:c r="J488" s="32"/>
      <x:c r="K488" s="32"/>
      <x:c r="L488" s="32"/>
      <x:c r="M488" s="32"/>
    </x:row>
    <x:row r="489">
      <x:c r="A489" s="32"/>
      <x:c r="B489"/>
      <x:c r="C489"/>
      <x:c r="D489"/>
      <x:c r="E489" s="20"/>
      <x:c r="F489"/>
      <x:c r="G489"/>
      <x:c r="H489" s="34"/>
      <x:c r="I489" s="34" t="str">
        <x:f>IF(H489="","",IF(G489="역방향",8-H489,H489))</x:f>
      </x:c>
      <x:c r="J489" s="32"/>
      <x:c r="K489" s="32"/>
      <x:c r="L489" s="32"/>
      <x:c r="M489" s="32"/>
    </x:row>
    <x:row r="490">
      <x:c r="A490" s="32"/>
      <x:c r="B490"/>
      <x:c r="C490"/>
      <x:c r="D490"/>
      <x:c r="E490" s="20"/>
      <x:c r="F490"/>
      <x:c r="G490"/>
      <x:c r="H490" s="34"/>
      <x:c r="I490" s="34" t="str">
        <x:f>IF(H490="","",IF(G490="역방향",8-H490,H490))</x:f>
      </x:c>
      <x:c r="J490" s="32"/>
      <x:c r="K490" s="32"/>
      <x:c r="L490" s="32"/>
      <x:c r="M490" s="32"/>
    </x:row>
    <x:row r="491">
      <x:c r="A491" s="32"/>
      <x:c r="B491"/>
      <x:c r="C491"/>
      <x:c r="D491"/>
      <x:c r="E491" s="20"/>
      <x:c r="F491"/>
      <x:c r="G491"/>
      <x:c r="H491" s="34"/>
      <x:c r="I491" s="34" t="str">
        <x:f>IF(H491="","",IF(G491="역방향",8-H491,H491))</x:f>
      </x:c>
      <x:c r="J491" s="32"/>
      <x:c r="K491" s="32"/>
      <x:c r="L491" s="32"/>
      <x:c r="M491" s="32"/>
    </x:row>
    <x:row r="492">
      <x:c r="A492" s="32"/>
      <x:c r="B492"/>
      <x:c r="C492"/>
      <x:c r="D492"/>
      <x:c r="E492" s="20"/>
      <x:c r="F492"/>
      <x:c r="G492"/>
      <x:c r="H492" s="34"/>
      <x:c r="I492" s="34" t="str">
        <x:f>IF(H492="","",IF(G492="역방향",8-H492,H492))</x:f>
      </x:c>
      <x:c r="J492" s="32"/>
      <x:c r="K492" s="32"/>
      <x:c r="L492" s="32"/>
      <x:c r="M492" s="32"/>
    </x:row>
    <x:row r="493">
      <x:c r="A493" s="32"/>
      <x:c r="B493"/>
      <x:c r="C493"/>
      <x:c r="D493"/>
      <x:c r="E493" s="20"/>
      <x:c r="F493"/>
      <x:c r="G493"/>
      <x:c r="H493" s="34"/>
      <x:c r="I493" s="34" t="str">
        <x:f>IF(H493="","",IF(G493="역방향",8-H493,H493))</x:f>
      </x:c>
      <x:c r="J493" s="32"/>
      <x:c r="K493" s="32"/>
      <x:c r="L493" s="32"/>
      <x:c r="M493" s="32"/>
    </x:row>
    <x:row r="494">
      <x:c r="A494" s="32"/>
      <x:c r="B494"/>
      <x:c r="C494"/>
      <x:c r="D494"/>
      <x:c r="E494" s="20"/>
      <x:c r="F494"/>
      <x:c r="G494"/>
      <x:c r="H494" s="34"/>
      <x:c r="I494" s="34" t="str">
        <x:f>IF(H494="","",IF(G494="역방향",8-H494,H494))</x:f>
      </x:c>
      <x:c r="J494" s="32"/>
      <x:c r="K494" s="32"/>
      <x:c r="L494" s="32"/>
      <x:c r="M494" s="32"/>
    </x:row>
    <x:row r="495">
      <x:c r="A495" s="32"/>
      <x:c r="B495"/>
      <x:c r="C495"/>
      <x:c r="D495"/>
      <x:c r="E495" s="20"/>
      <x:c r="F495"/>
      <x:c r="G495"/>
      <x:c r="H495" s="34"/>
      <x:c r="I495" s="34" t="str">
        <x:f>IF(H495="","",IF(G495="역방향",8-H495,H495))</x:f>
      </x:c>
      <x:c r="J495" s="32"/>
      <x:c r="K495" s="32"/>
      <x:c r="L495" s="32"/>
      <x:c r="M495" s="32"/>
    </x:row>
    <x:row r="496">
      <x:c r="A496" s="32"/>
      <x:c r="B496"/>
      <x:c r="C496"/>
      <x:c r="D496"/>
      <x:c r="E496" s="20"/>
      <x:c r="F496"/>
      <x:c r="G496"/>
      <x:c r="H496" s="34"/>
      <x:c r="I496" s="34" t="str">
        <x:f>IF(H496="","",IF(G496="역방향",8-H496,H496))</x:f>
      </x:c>
      <x:c r="J496" s="32"/>
      <x:c r="K496" s="32"/>
      <x:c r="L496" s="32"/>
      <x:c r="M496" s="32"/>
    </x:row>
    <x:row r="497">
      <x:c r="A497" s="32"/>
      <x:c r="B497"/>
      <x:c r="C497"/>
      <x:c r="D497"/>
      <x:c r="E497" s="20"/>
      <x:c r="F497"/>
      <x:c r="G497"/>
      <x:c r="H497" s="34"/>
      <x:c r="I497" s="34" t="str">
        <x:f>IF(H497="","",IF(G497="역방향",8-H497,H497))</x:f>
      </x:c>
      <x:c r="J497" s="32"/>
      <x:c r="K497" s="32"/>
      <x:c r="L497" s="32"/>
      <x:c r="M497" s="32"/>
    </x:row>
    <x:row r="498">
      <x:c r="A498" s="32"/>
      <x:c r="B498"/>
      <x:c r="C498"/>
      <x:c r="D498"/>
      <x:c r="E498" s="20"/>
      <x:c r="F498"/>
      <x:c r="G498"/>
      <x:c r="H498" s="34"/>
      <x:c r="I498" s="34" t="str">
        <x:f>IF(H498="","",IF(G498="역방향",8-H498,H498))</x:f>
      </x:c>
      <x:c r="J498" s="32"/>
      <x:c r="K498" s="32"/>
      <x:c r="L498" s="32"/>
      <x:c r="M498" s="32"/>
    </x:row>
    <x:row r="499">
      <x:c r="A499" s="32"/>
      <x:c r="B499"/>
      <x:c r="C499"/>
      <x:c r="D499"/>
      <x:c r="E499" s="20"/>
      <x:c r="F499"/>
      <x:c r="G499"/>
      <x:c r="H499" s="34"/>
      <x:c r="I499" s="34" t="str">
        <x:f>IF(H499="","",IF(G499="역방향",8-H499,H499))</x:f>
      </x:c>
      <x:c r="J499" s="32"/>
      <x:c r="K499" s="32"/>
      <x:c r="L499" s="32"/>
      <x:c r="M499" s="32"/>
    </x:row>
    <x:row r="500">
      <x:c r="A500" s="32"/>
      <x:c r="B500"/>
      <x:c r="C500"/>
      <x:c r="D500"/>
      <x:c r="E500" s="20"/>
      <x:c r="F500"/>
      <x:c r="G500"/>
      <x:c r="H500" s="34"/>
      <x:c r="I500" s="34" t="str">
        <x:f>IF(H500="","",IF(G500="역방향",8-H500,H500))</x:f>
      </x:c>
      <x:c r="J500" s="32"/>
      <x:c r="K500" s="32"/>
      <x:c r="L500" s="32"/>
      <x:c r="M500" s="32"/>
    </x:row>
    <x:row r="501">
      <x:c r="A501" s="32"/>
      <x:c r="B501"/>
      <x:c r="C501"/>
      <x:c r="D501"/>
      <x:c r="E501" s="20"/>
      <x:c r="F501"/>
      <x:c r="G501"/>
      <x:c r="H501" s="34"/>
      <x:c r="I501" s="34" t="str">
        <x:f>IF(H501="","",IF(G501="역방향",8-H501,H501))</x:f>
      </x:c>
      <x:c r="J501" s="32"/>
      <x:c r="K501" s="32"/>
      <x:c r="L501" s="32"/>
      <x:c r="M501" s="32"/>
    </x:row>
    <x:row r="502">
      <x:c r="A502" s="32"/>
      <x:c r="B502"/>
      <x:c r="C502"/>
      <x:c r="D502"/>
      <x:c r="E502" s="20"/>
      <x:c r="F502"/>
      <x:c r="G502"/>
      <x:c r="H502" s="34"/>
      <x:c r="I502" s="34" t="str">
        <x:f>IF(H502="","",IF(G502="역방향",8-H502,H502))</x:f>
      </x:c>
      <x:c r="J502" s="32"/>
      <x:c r="K502" s="32"/>
      <x:c r="L502" s="32"/>
      <x:c r="M502" s="32"/>
    </x:row>
    <x:row r="503">
      <x:c r="A503" s="32"/>
      <x:c r="B503"/>
      <x:c r="C503"/>
      <x:c r="D503"/>
      <x:c r="E503" s="20"/>
      <x:c r="F503"/>
      <x:c r="G503"/>
      <x:c r="H503" s="34"/>
      <x:c r="I503" s="34" t="str">
        <x:f>IF(H503="","",IF(G503="역방향",8-H503,H503))</x:f>
      </x:c>
      <x:c r="J503" s="32"/>
      <x:c r="K503" s="32"/>
      <x:c r="L503" s="32"/>
      <x:c r="M503" s="32"/>
    </x:row>
    <x:row r="504">
      <x:c r="A504" s="32"/>
      <x:c r="B504"/>
      <x:c r="C504"/>
      <x:c r="D504"/>
      <x:c r="E504" s="20"/>
      <x:c r="F504"/>
      <x:c r="G504"/>
      <x:c r="H504" s="34"/>
      <x:c r="I504" s="34" t="str">
        <x:f>IF(H504="","",IF(G504="역방향",8-H504,H504))</x:f>
      </x:c>
      <x:c r="J504" s="32"/>
      <x:c r="K504" s="32"/>
      <x:c r="L504" s="32"/>
      <x:c r="M504" s="32"/>
    </x:row>
    <x:row r="505">
      <x:c r="A505" s="32"/>
      <x:c r="B505"/>
      <x:c r="C505"/>
      <x:c r="D505"/>
      <x:c r="E505" s="20"/>
      <x:c r="F505"/>
      <x:c r="G505"/>
      <x:c r="H505" s="34"/>
      <x:c r="I505" s="34" t="str">
        <x:f>IF(H505="","",IF(G505="역방향",8-H505,H505))</x:f>
      </x:c>
      <x:c r="J505" s="32"/>
      <x:c r="K505" s="32"/>
      <x:c r="L505" s="32"/>
      <x:c r="M505" s="32"/>
    </x:row>
    <x:row r="506">
      <x:c r="A506" s="32"/>
      <x:c r="B506"/>
      <x:c r="C506"/>
      <x:c r="D506"/>
      <x:c r="E506" s="20"/>
      <x:c r="F506"/>
      <x:c r="G506"/>
      <x:c r="H506" s="34"/>
      <x:c r="I506" s="34" t="str">
        <x:f>IF(H506="","",IF(G506="역방향",8-H506,H506))</x:f>
      </x:c>
      <x:c r="J506" s="32"/>
      <x:c r="K506" s="32"/>
      <x:c r="L506" s="32"/>
      <x:c r="M506" s="32"/>
    </x:row>
    <x:row r="507">
      <x:c r="A507" s="32"/>
      <x:c r="B507"/>
      <x:c r="C507"/>
      <x:c r="D507"/>
      <x:c r="E507" s="20"/>
      <x:c r="F507"/>
      <x:c r="G507"/>
      <x:c r="H507" s="34"/>
      <x:c r="I507" s="34" t="str">
        <x:f>IF(H507="","",IF(G507="역방향",8-H507,H507))</x:f>
      </x:c>
      <x:c r="J507" s="32"/>
      <x:c r="K507" s="32"/>
      <x:c r="L507" s="32"/>
      <x:c r="M507" s="32"/>
    </x:row>
    <x:row r="508">
      <x:c r="A508" s="32"/>
      <x:c r="B508"/>
      <x:c r="C508"/>
      <x:c r="D508"/>
      <x:c r="E508" s="20"/>
      <x:c r="F508"/>
      <x:c r="G508"/>
      <x:c r="H508" s="34"/>
      <x:c r="I508" s="34" t="str">
        <x:f>IF(H508="","",IF(G508="역방향",8-H508,H508))</x:f>
      </x:c>
      <x:c r="J508" s="32"/>
      <x:c r="K508" s="32"/>
      <x:c r="L508" s="32"/>
      <x:c r="M508" s="32"/>
    </x:row>
    <x:row r="509">
      <x:c r="A509" s="32"/>
      <x:c r="B509"/>
      <x:c r="C509"/>
      <x:c r="D509"/>
      <x:c r="E509" s="20"/>
      <x:c r="F509"/>
      <x:c r="G509"/>
      <x:c r="H509" s="34"/>
      <x:c r="I509" s="34" t="str">
        <x:f>IF(H509="","",IF(G509="역방향",8-H509,H509))</x:f>
      </x:c>
      <x:c r="J509" s="32"/>
      <x:c r="K509" s="32"/>
      <x:c r="L509" s="32"/>
      <x:c r="M509" s="32"/>
    </x:row>
    <x:row r="510">
      <x:c r="A510" s="32"/>
      <x:c r="B510"/>
      <x:c r="C510"/>
      <x:c r="D510"/>
      <x:c r="E510" s="20"/>
      <x:c r="F510"/>
      <x:c r="G510"/>
      <x:c r="H510" s="34"/>
      <x:c r="I510" s="34" t="str">
        <x:f>IF(H510="","",IF(G510="역방향",8-H510,H510))</x:f>
      </x:c>
      <x:c r="J510" s="32"/>
      <x:c r="K510" s="32"/>
      <x:c r="L510" s="32"/>
      <x:c r="M510" s="32"/>
    </x:row>
    <x:row r="511">
      <x:c r="A511" s="32"/>
      <x:c r="B511"/>
      <x:c r="C511"/>
      <x:c r="D511"/>
      <x:c r="E511" s="20"/>
      <x:c r="F511"/>
      <x:c r="G511"/>
      <x:c r="H511" s="34"/>
      <x:c r="I511" s="34" t="str">
        <x:f>IF(H511="","",IF(G511="역방향",8-H511,H511))</x:f>
      </x:c>
      <x:c r="J511" s="32"/>
      <x:c r="K511" s="32"/>
      <x:c r="L511" s="32"/>
      <x:c r="M511" s="32"/>
    </x:row>
    <x:row r="512">
      <x:c r="A512" s="32"/>
      <x:c r="B512"/>
      <x:c r="C512"/>
      <x:c r="D512"/>
      <x:c r="E512" s="20"/>
      <x:c r="F512"/>
      <x:c r="G512"/>
      <x:c r="H512" s="34"/>
      <x:c r="I512" s="34" t="str">
        <x:f>IF(H512="","",IF(G512="역방향",8-H512,H512))</x:f>
      </x:c>
      <x:c r="J512" s="32"/>
      <x:c r="K512" s="32"/>
      <x:c r="L512" s="32"/>
      <x:c r="M512" s="32"/>
    </x:row>
    <x:row r="513">
      <x:c r="A513" s="32"/>
      <x:c r="B513"/>
      <x:c r="C513"/>
      <x:c r="D513"/>
      <x:c r="E513" s="20"/>
      <x:c r="F513"/>
      <x:c r="G513"/>
      <x:c r="H513" s="34"/>
      <x:c r="I513" s="34" t="str">
        <x:f>IF(H513="","",IF(G513="역방향",8-H513,H513))</x:f>
      </x:c>
      <x:c r="J513" s="32"/>
      <x:c r="K513" s="32"/>
      <x:c r="L513" s="32"/>
      <x:c r="M513" s="32"/>
    </x:row>
    <x:row r="514">
      <x:c r="A514" s="32"/>
      <x:c r="B514"/>
      <x:c r="C514"/>
      <x:c r="D514"/>
      <x:c r="E514" s="20"/>
      <x:c r="F514"/>
      <x:c r="G514"/>
      <x:c r="H514" s="34"/>
      <x:c r="I514" s="34" t="str">
        <x:f>IF(H514="","",IF(G514="역방향",8-H514,H514))</x:f>
      </x:c>
      <x:c r="J514" s="32"/>
      <x:c r="K514" s="32"/>
      <x:c r="L514" s="32"/>
      <x:c r="M514" s="32"/>
    </x:row>
    <x:row r="515">
      <x:c r="A515" s="32"/>
      <x:c r="B515"/>
      <x:c r="C515"/>
      <x:c r="D515"/>
      <x:c r="E515" s="20"/>
      <x:c r="F515"/>
      <x:c r="G515"/>
      <x:c r="H515" s="34"/>
      <x:c r="I515" s="34" t="str">
        <x:f>IF(H515="","",IF(G515="역방향",8-H515,H515))</x:f>
      </x:c>
      <x:c r="J515" s="32"/>
      <x:c r="K515" s="32"/>
      <x:c r="L515" s="32"/>
      <x:c r="M515" s="32"/>
    </x:row>
    <x:row r="516">
      <x:c r="A516" s="32"/>
      <x:c r="B516"/>
      <x:c r="C516"/>
      <x:c r="D516"/>
      <x:c r="E516" s="20"/>
      <x:c r="F516"/>
      <x:c r="G516"/>
      <x:c r="H516" s="34"/>
      <x:c r="I516" s="34" t="str">
        <x:f>IF(H516="","",IF(G516="역방향",8-H516,H516))</x:f>
      </x:c>
      <x:c r="J516" s="32"/>
      <x:c r="K516" s="32"/>
      <x:c r="L516" s="32"/>
      <x:c r="M516" s="32"/>
    </x:row>
    <x:row r="517">
      <x:c r="A517" s="32"/>
      <x:c r="B517"/>
      <x:c r="C517"/>
      <x:c r="D517"/>
      <x:c r="E517" s="20"/>
      <x:c r="F517"/>
      <x:c r="G517"/>
      <x:c r="H517" s="34"/>
      <x:c r="I517" s="34" t="str">
        <x:f>IF(H517="","",IF(G517="역방향",8-H517,H517))</x:f>
      </x:c>
      <x:c r="J517" s="32"/>
      <x:c r="K517" s="32"/>
      <x:c r="L517" s="32"/>
      <x:c r="M517" s="32"/>
    </x:row>
    <x:row r="518">
      <x:c r="A518" s="32"/>
      <x:c r="B518"/>
      <x:c r="C518"/>
      <x:c r="D518"/>
      <x:c r="E518" s="20"/>
      <x:c r="F518"/>
      <x:c r="G518"/>
      <x:c r="H518" s="34"/>
      <x:c r="I518" s="34" t="str">
        <x:f>IF(H518="","",IF(G518="역방향",8-H518,H518))</x:f>
      </x:c>
      <x:c r="J518" s="32"/>
      <x:c r="K518" s="32"/>
      <x:c r="L518" s="32"/>
      <x:c r="M518" s="32"/>
    </x:row>
    <x:row r="519">
      <x:c r="A519" s="32"/>
      <x:c r="B519"/>
      <x:c r="C519"/>
      <x:c r="D519"/>
      <x:c r="E519" s="20"/>
      <x:c r="F519"/>
      <x:c r="G519"/>
      <x:c r="H519" s="34"/>
      <x:c r="I519" s="34" t="str">
        <x:f>IF(H519="","",IF(G519="역방향",8-H519,H519))</x:f>
      </x:c>
      <x:c r="J519" s="32"/>
      <x:c r="K519" s="32"/>
      <x:c r="L519" s="32"/>
      <x:c r="M519" s="32"/>
    </x:row>
    <x:row r="520">
      <x:c r="A520" s="32"/>
      <x:c r="B520"/>
      <x:c r="C520"/>
      <x:c r="D520"/>
      <x:c r="E520" s="20"/>
      <x:c r="F520"/>
      <x:c r="G520"/>
      <x:c r="H520" s="34"/>
      <x:c r="I520" s="34" t="str">
        <x:f>IF(H520="","",IF(G520="역방향",8-H520,H520))</x:f>
      </x:c>
      <x:c r="J520" s="32"/>
      <x:c r="K520" s="32"/>
      <x:c r="L520" s="32"/>
      <x:c r="M520" s="32"/>
    </x:row>
    <x:row r="521">
      <x:c r="A521" s="32"/>
      <x:c r="B521"/>
      <x:c r="C521"/>
      <x:c r="D521"/>
      <x:c r="E521" s="20"/>
      <x:c r="F521"/>
      <x:c r="G521"/>
      <x:c r="H521" s="34"/>
      <x:c r="I521" s="34" t="str">
        <x:f>IF(H521="","",IF(G521="역방향",8-H521,H521))</x:f>
      </x:c>
      <x:c r="J521" s="32"/>
      <x:c r="K521" s="32"/>
      <x:c r="L521" s="32"/>
      <x:c r="M521" s="32"/>
    </x:row>
    <x:row r="522">
      <x:c r="A522" s="32"/>
      <x:c r="B522"/>
      <x:c r="C522"/>
      <x:c r="D522"/>
      <x:c r="E522" s="20"/>
      <x:c r="F522"/>
      <x:c r="G522"/>
      <x:c r="H522" s="34"/>
      <x:c r="I522" s="34" t="str">
        <x:f>IF(H522="","",IF(G522="역방향",8-H522,H522))</x:f>
      </x:c>
      <x:c r="J522" s="32"/>
      <x:c r="K522" s="32"/>
      <x:c r="L522" s="32"/>
      <x:c r="M522" s="32"/>
    </x:row>
    <x:row r="523">
      <x:c r="A523" s="32"/>
      <x:c r="B523"/>
      <x:c r="C523"/>
      <x:c r="D523"/>
      <x:c r="E523" s="20"/>
      <x:c r="F523"/>
      <x:c r="G523"/>
      <x:c r="H523" s="34"/>
      <x:c r="I523" s="34" t="str">
        <x:f>IF(H523="","",IF(G523="역방향",8-H523,H523))</x:f>
      </x:c>
      <x:c r="J523" s="32"/>
      <x:c r="K523" s="32"/>
      <x:c r="L523" s="32"/>
      <x:c r="M523" s="32"/>
    </x:row>
    <x:row r="524">
      <x:c r="A524" s="32"/>
      <x:c r="B524"/>
      <x:c r="C524"/>
      <x:c r="D524"/>
      <x:c r="E524" s="20"/>
      <x:c r="F524"/>
      <x:c r="G524"/>
      <x:c r="H524" s="34"/>
      <x:c r="I524" s="34" t="str">
        <x:f>IF(H524="","",IF(G524="역방향",8-H524,H524))</x:f>
      </x:c>
      <x:c r="J524" s="32"/>
      <x:c r="K524" s="32"/>
      <x:c r="L524" s="32"/>
      <x:c r="M524" s="32"/>
    </x:row>
    <x:row r="525">
      <x:c r="A525" s="32"/>
      <x:c r="B525"/>
      <x:c r="C525"/>
      <x:c r="D525"/>
      <x:c r="E525" s="20"/>
      <x:c r="F525"/>
      <x:c r="G525"/>
      <x:c r="H525" s="34"/>
      <x:c r="I525" s="34" t="str">
        <x:f>IF(H525="","",IF(G525="역방향",8-H525,H525))</x:f>
      </x:c>
      <x:c r="J525" s="32"/>
      <x:c r="K525" s="32"/>
      <x:c r="L525" s="32"/>
      <x:c r="M525" s="32"/>
    </x:row>
    <x:row r="526">
      <x:c r="A526" s="32"/>
      <x:c r="B526"/>
      <x:c r="C526"/>
      <x:c r="D526"/>
      <x:c r="E526" s="20"/>
      <x:c r="F526"/>
      <x:c r="G526"/>
      <x:c r="H526" s="34"/>
      <x:c r="I526" s="34" t="str">
        <x:f>IF(H526="","",IF(G526="역방향",8-H526,H526))</x:f>
      </x:c>
      <x:c r="J526" s="32"/>
      <x:c r="K526" s="32"/>
      <x:c r="L526" s="32"/>
      <x:c r="M526" s="32"/>
    </x:row>
    <x:row r="527">
      <x:c r="A527" s="32"/>
      <x:c r="B527"/>
      <x:c r="C527"/>
      <x:c r="D527"/>
      <x:c r="E527" s="20"/>
      <x:c r="F527"/>
      <x:c r="G527"/>
      <x:c r="H527" s="34"/>
      <x:c r="I527" s="34" t="str">
        <x:f>IF(H527="","",IF(G527="역방향",8-H527,H527))</x:f>
      </x:c>
      <x:c r="J527" s="32"/>
      <x:c r="K527" s="32"/>
      <x:c r="L527" s="32"/>
      <x:c r="M527" s="32"/>
    </x:row>
    <x:row r="528">
      <x:c r="A528" s="32"/>
      <x:c r="B528"/>
      <x:c r="C528"/>
      <x:c r="D528"/>
      <x:c r="E528" s="20"/>
      <x:c r="F528"/>
      <x:c r="G528"/>
      <x:c r="H528" s="34"/>
      <x:c r="I528" s="34" t="str">
        <x:f>IF(H528="","",IF(G528="역방향",8-H528,H528))</x:f>
      </x:c>
      <x:c r="J528" s="32"/>
      <x:c r="K528" s="32"/>
      <x:c r="L528" s="32"/>
      <x:c r="M528" s="32"/>
    </x:row>
    <x:row r="529">
      <x:c r="A529" s="32"/>
      <x:c r="B529"/>
      <x:c r="C529"/>
      <x:c r="D529"/>
      <x:c r="E529" s="20"/>
      <x:c r="F529"/>
      <x:c r="G529"/>
      <x:c r="H529" s="34"/>
      <x:c r="I529" s="34" t="str">
        <x:f>IF(H529="","",IF(G529="역방향",8-H529,H529))</x:f>
      </x:c>
      <x:c r="J529" s="32"/>
      <x:c r="K529" s="32"/>
      <x:c r="L529" s="32"/>
      <x:c r="M529" s="32"/>
    </x:row>
    <x:row r="530">
      <x:c r="A530" s="32"/>
      <x:c r="B530"/>
      <x:c r="C530"/>
      <x:c r="D530"/>
      <x:c r="E530" s="20"/>
      <x:c r="F530"/>
      <x:c r="G530"/>
      <x:c r="H530" s="34"/>
      <x:c r="I530" s="34" t="str">
        <x:f>IF(H530="","",IF(G530="역방향",8-H530,H530))</x:f>
      </x:c>
      <x:c r="J530" s="32"/>
      <x:c r="K530" s="32"/>
      <x:c r="L530" s="32"/>
      <x:c r="M530" s="32"/>
    </x:row>
    <x:row r="531">
      <x:c r="A531" s="32"/>
      <x:c r="B531"/>
      <x:c r="C531"/>
      <x:c r="D531"/>
      <x:c r="E531" s="20"/>
      <x:c r="F531"/>
      <x:c r="G531"/>
      <x:c r="H531" s="34"/>
      <x:c r="I531" s="34" t="str">
        <x:f>IF(H531="","",IF(G531="역방향",8-H531,H531))</x:f>
      </x:c>
      <x:c r="J531" s="32"/>
      <x:c r="K531" s="32"/>
      <x:c r="L531" s="32"/>
      <x:c r="M531" s="32"/>
    </x:row>
    <x:row r="532">
      <x:c r="A532" s="32"/>
      <x:c r="B532"/>
      <x:c r="C532"/>
      <x:c r="D532"/>
      <x:c r="E532" s="20"/>
      <x:c r="F532"/>
      <x:c r="G532"/>
      <x:c r="H532" s="34"/>
      <x:c r="I532" s="34" t="str">
        <x:f>IF(H532="","",IF(G532="역방향",8-H532,H532))</x:f>
      </x:c>
      <x:c r="J532" s="32"/>
      <x:c r="K532" s="32"/>
      <x:c r="L532" s="32"/>
      <x:c r="M532" s="32"/>
    </x:row>
    <x:row r="533">
      <x:c r="A533" s="32"/>
      <x:c r="B533"/>
      <x:c r="C533"/>
      <x:c r="D533"/>
      <x:c r="E533" s="20"/>
      <x:c r="F533"/>
      <x:c r="G533"/>
      <x:c r="H533" s="34"/>
      <x:c r="I533" s="34" t="str">
        <x:f>IF(H533="","",IF(G533="역방향",8-H533,H533))</x:f>
      </x:c>
      <x:c r="J533" s="32"/>
      <x:c r="K533" s="32"/>
      <x:c r="L533" s="32"/>
      <x:c r="M533" s="32"/>
    </x:row>
    <x:row r="534">
      <x:c r="A534" s="32"/>
      <x:c r="B534"/>
      <x:c r="C534"/>
      <x:c r="D534"/>
      <x:c r="E534" s="20"/>
      <x:c r="F534"/>
      <x:c r="G534"/>
      <x:c r="H534" s="34"/>
      <x:c r="I534" s="34" t="str">
        <x:f>IF(H534="","",IF(G534="역방향",8-H534,H534))</x:f>
      </x:c>
      <x:c r="J534" s="32"/>
      <x:c r="K534" s="32"/>
      <x:c r="L534" s="32"/>
      <x:c r="M534" s="32"/>
    </x:row>
    <x:row r="535">
      <x:c r="A535" s="32"/>
      <x:c r="B535"/>
      <x:c r="C535"/>
      <x:c r="D535"/>
      <x:c r="E535" s="20"/>
      <x:c r="F535"/>
      <x:c r="G535"/>
      <x:c r="H535" s="34"/>
      <x:c r="I535" s="34" t="str">
        <x:f>IF(H535="","",IF(G535="역방향",8-H535,H535))</x:f>
      </x:c>
      <x:c r="J535" s="32"/>
      <x:c r="K535" s="32"/>
      <x:c r="L535" s="32"/>
      <x:c r="M535" s="32"/>
    </x:row>
    <x:row r="536">
      <x:c r="A536" s="32"/>
      <x:c r="B536"/>
      <x:c r="C536"/>
      <x:c r="D536"/>
      <x:c r="E536" s="20"/>
      <x:c r="F536"/>
      <x:c r="G536"/>
      <x:c r="H536" s="34"/>
      <x:c r="I536" s="34" t="str">
        <x:f>IF(H536="","",IF(G536="역방향",8-H536,H536))</x:f>
      </x:c>
      <x:c r="J536" s="32"/>
      <x:c r="K536" s="32"/>
      <x:c r="L536" s="32"/>
      <x:c r="M536" s="32"/>
    </x:row>
    <x:row r="537">
      <x:c r="A537" s="32"/>
      <x:c r="B537"/>
      <x:c r="C537"/>
      <x:c r="D537"/>
      <x:c r="E537" s="20"/>
      <x:c r="F537"/>
      <x:c r="G537"/>
      <x:c r="H537" s="34"/>
      <x:c r="I537" s="34" t="str">
        <x:f>IF(H537="","",IF(G537="역방향",8-H537,H537))</x:f>
      </x:c>
      <x:c r="J537" s="32"/>
      <x:c r="K537" s="32"/>
      <x:c r="L537" s="32"/>
      <x:c r="M537" s="32"/>
    </x:row>
    <x:row r="538">
      <x:c r="A538" s="32"/>
      <x:c r="B538"/>
      <x:c r="C538"/>
      <x:c r="D538"/>
      <x:c r="E538" s="20"/>
      <x:c r="F538"/>
      <x:c r="G538"/>
      <x:c r="H538" s="34"/>
      <x:c r="I538" s="34" t="str">
        <x:f>IF(H538="","",IF(G538="역방향",8-H538,H538))</x:f>
      </x:c>
      <x:c r="J538" s="32"/>
      <x:c r="K538" s="32"/>
      <x:c r="L538" s="32"/>
      <x:c r="M538" s="32"/>
    </x:row>
    <x:row r="539">
      <x:c r="A539" s="32"/>
      <x:c r="B539"/>
      <x:c r="C539"/>
      <x:c r="D539"/>
      <x:c r="E539" s="20"/>
      <x:c r="F539"/>
      <x:c r="G539"/>
      <x:c r="H539" s="34"/>
      <x:c r="I539" s="34" t="str">
        <x:f>IF(H539="","",IF(G539="역방향",8-H539,H539))</x:f>
      </x:c>
      <x:c r="J539" s="32"/>
      <x:c r="K539" s="32"/>
      <x:c r="L539" s="32"/>
      <x:c r="M539" s="32"/>
    </x:row>
    <x:row r="540">
      <x:c r="A540" s="32"/>
      <x:c r="B540"/>
      <x:c r="C540"/>
      <x:c r="D540"/>
      <x:c r="E540" s="20"/>
      <x:c r="F540"/>
      <x:c r="G540"/>
      <x:c r="H540" s="34"/>
      <x:c r="I540" s="34" t="str">
        <x:f>IF(H540="","",IF(G540="역방향",8-H540,H540))</x:f>
      </x:c>
      <x:c r="J540" s="32"/>
      <x:c r="K540" s="32"/>
      <x:c r="L540" s="32"/>
      <x:c r="M540" s="32"/>
    </x:row>
    <x:row r="541">
      <x:c r="A541" s="32"/>
      <x:c r="B541"/>
      <x:c r="C541"/>
      <x:c r="D541"/>
      <x:c r="E541" s="20"/>
      <x:c r="F541"/>
      <x:c r="G541"/>
      <x:c r="H541" s="34"/>
      <x:c r="I541" s="34" t="str">
        <x:f>IF(H541="","",IF(G541="역방향",8-H541,H541))</x:f>
      </x:c>
      <x:c r="J541" s="32"/>
      <x:c r="K541" s="32"/>
      <x:c r="L541" s="32"/>
      <x:c r="M541" s="32"/>
    </x:row>
    <x:row r="542">
      <x:c r="A542" s="32"/>
      <x:c r="B542"/>
      <x:c r="C542"/>
      <x:c r="D542"/>
      <x:c r="E542" s="20"/>
      <x:c r="F542"/>
      <x:c r="G542"/>
      <x:c r="H542" s="34"/>
      <x:c r="I542" s="34" t="str">
        <x:f>IF(H542="","",IF(G542="역방향",8-H542,H542))</x:f>
      </x:c>
      <x:c r="J542" s="32"/>
      <x:c r="K542" s="32"/>
      <x:c r="L542" s="32"/>
      <x:c r="M542" s="32"/>
    </x:row>
    <x:row r="543">
      <x:c r="A543" s="32"/>
      <x:c r="B543"/>
      <x:c r="C543"/>
      <x:c r="D543"/>
      <x:c r="E543" s="20"/>
      <x:c r="F543"/>
      <x:c r="G543"/>
      <x:c r="H543" s="34"/>
      <x:c r="I543" s="34" t="str">
        <x:f>IF(H543="","",IF(G543="역방향",8-H543,H543))</x:f>
      </x:c>
      <x:c r="J543" s="32"/>
      <x:c r="K543" s="32"/>
      <x:c r="L543" s="32"/>
      <x:c r="M543" s="32"/>
    </x:row>
    <x:row r="544">
      <x:c r="A544" s="32"/>
      <x:c r="B544"/>
      <x:c r="C544"/>
      <x:c r="D544"/>
      <x:c r="E544" s="20"/>
      <x:c r="F544"/>
      <x:c r="G544"/>
      <x:c r="H544" s="34"/>
      <x:c r="I544" s="34" t="str">
        <x:f>IF(H544="","",IF(G544="역방향",8-H544,H544))</x:f>
      </x:c>
      <x:c r="J544" s="32"/>
      <x:c r="K544" s="32"/>
      <x:c r="L544" s="32"/>
      <x:c r="M544" s="32"/>
    </x:row>
    <x:row r="545">
      <x:c r="A545" s="32"/>
      <x:c r="B545"/>
      <x:c r="C545"/>
      <x:c r="D545"/>
      <x:c r="E545" s="20"/>
      <x:c r="F545"/>
      <x:c r="G545"/>
      <x:c r="H545" s="34"/>
      <x:c r="I545" s="34" t="str">
        <x:f>IF(H545="","",IF(G545="역방향",8-H545,H545))</x:f>
      </x:c>
      <x:c r="J545" s="32"/>
      <x:c r="K545" s="32"/>
      <x:c r="L545" s="32"/>
      <x:c r="M545" s="32"/>
    </x:row>
    <x:row r="546">
      <x:c r="A546" s="32"/>
      <x:c r="B546"/>
      <x:c r="C546"/>
      <x:c r="D546"/>
      <x:c r="E546" s="20"/>
      <x:c r="F546"/>
      <x:c r="G546"/>
      <x:c r="H546" s="34"/>
      <x:c r="I546" s="34" t="str">
        <x:f>IF(H546="","",IF(G546="역방향",8-H546,H546))</x:f>
      </x:c>
      <x:c r="J546" s="32"/>
      <x:c r="K546" s="32"/>
      <x:c r="L546" s="32"/>
      <x:c r="M546" s="32"/>
    </x:row>
    <x:row r="547">
      <x:c r="A547" s="32"/>
      <x:c r="B547"/>
      <x:c r="C547"/>
      <x:c r="D547"/>
      <x:c r="E547" s="20"/>
      <x:c r="F547"/>
      <x:c r="G547"/>
      <x:c r="H547" s="34"/>
      <x:c r="I547" s="34" t="str">
        <x:f>IF(H547="","",IF(G547="역방향",8-H547,H547))</x:f>
      </x:c>
      <x:c r="J547" s="32"/>
      <x:c r="K547" s="32"/>
      <x:c r="L547" s="32"/>
      <x:c r="M547" s="32"/>
    </x:row>
    <x:row r="548">
      <x:c r="A548" s="32"/>
      <x:c r="B548"/>
      <x:c r="C548"/>
      <x:c r="D548"/>
      <x:c r="E548" s="20"/>
      <x:c r="F548"/>
      <x:c r="G548"/>
      <x:c r="H548" s="34"/>
      <x:c r="I548" s="34" t="str">
        <x:f>IF(H548="","",IF(G548="역방향",8-H548,H548))</x:f>
      </x:c>
      <x:c r="J548" s="32"/>
      <x:c r="K548" s="32"/>
      <x:c r="L548" s="32"/>
      <x:c r="M548" s="32"/>
    </x:row>
    <x:row r="549">
      <x:c r="A549" s="32"/>
      <x:c r="B549"/>
      <x:c r="C549"/>
      <x:c r="D549"/>
      <x:c r="E549" s="20"/>
      <x:c r="F549"/>
      <x:c r="G549"/>
      <x:c r="H549" s="34"/>
      <x:c r="I549" s="34" t="str">
        <x:f>IF(H549="","",IF(G549="역방향",8-H549,H549))</x:f>
      </x:c>
      <x:c r="J549" s="32"/>
      <x:c r="K549" s="32"/>
      <x:c r="L549" s="32"/>
      <x:c r="M549" s="32"/>
    </x:row>
    <x:row r="550">
      <x:c r="A550" s="32"/>
      <x:c r="B550"/>
      <x:c r="C550"/>
      <x:c r="D550"/>
      <x:c r="E550" s="20"/>
      <x:c r="F550"/>
      <x:c r="G550"/>
      <x:c r="H550" s="34"/>
      <x:c r="I550" s="34" t="str">
        <x:f>IF(H550="","",IF(G550="역방향",8-H550,H550))</x:f>
      </x:c>
      <x:c r="J550" s="32"/>
      <x:c r="K550" s="32"/>
      <x:c r="L550" s="32"/>
      <x:c r="M550" s="32"/>
    </x:row>
    <x:row r="551">
      <x:c r="A551" s="32"/>
      <x:c r="B551"/>
      <x:c r="C551"/>
      <x:c r="D551"/>
      <x:c r="E551" s="20"/>
      <x:c r="F551"/>
      <x:c r="G551"/>
      <x:c r="H551" s="34"/>
      <x:c r="I551" s="34" t="str">
        <x:f>IF(H551="","",IF(G551="역방향",8-H551,H551))</x:f>
      </x:c>
      <x:c r="J551" s="32"/>
      <x:c r="K551" s="32"/>
      <x:c r="L551" s="32"/>
      <x:c r="M551" s="32"/>
    </x:row>
    <x:row r="552">
      <x:c r="A552" s="32"/>
      <x:c r="B552"/>
      <x:c r="C552"/>
      <x:c r="D552"/>
      <x:c r="E552" s="20"/>
      <x:c r="F552"/>
      <x:c r="G552"/>
      <x:c r="H552" s="34"/>
      <x:c r="I552" s="34" t="str">
        <x:f>IF(H552="","",IF(G552="역방향",8-H552,H552))</x:f>
      </x:c>
      <x:c r="J552" s="32"/>
      <x:c r="K552" s="32"/>
      <x:c r="L552" s="32"/>
      <x:c r="M552" s="32"/>
    </x:row>
    <x:row r="553">
      <x:c r="A553" s="32"/>
      <x:c r="B553"/>
      <x:c r="C553"/>
      <x:c r="D553"/>
      <x:c r="E553" s="20"/>
      <x:c r="F553"/>
      <x:c r="G553"/>
      <x:c r="H553" s="34"/>
      <x:c r="I553" s="34" t="str">
        <x:f>IF(H553="","",IF(G553="역방향",8-H553,H553))</x:f>
      </x:c>
      <x:c r="J553" s="32"/>
      <x:c r="K553" s="32"/>
      <x:c r="L553" s="32"/>
      <x:c r="M553" s="32"/>
    </x:row>
    <x:row r="554">
      <x:c r="A554" s="32"/>
      <x:c r="B554"/>
      <x:c r="C554"/>
      <x:c r="D554"/>
      <x:c r="E554" s="20"/>
      <x:c r="F554"/>
      <x:c r="G554"/>
      <x:c r="H554" s="34"/>
      <x:c r="I554" s="34" t="str">
        <x:f>IF(H554="","",IF(G554="역방향",8-H554,H554))</x:f>
      </x:c>
      <x:c r="J554" s="32"/>
      <x:c r="K554" s="32"/>
      <x:c r="L554" s="32"/>
      <x:c r="M554" s="32"/>
    </x:row>
    <x:row r="555">
      <x:c r="A555" s="32"/>
      <x:c r="B555"/>
      <x:c r="C555"/>
      <x:c r="D555"/>
      <x:c r="E555" s="20"/>
      <x:c r="F555"/>
      <x:c r="G555"/>
      <x:c r="H555" s="34"/>
      <x:c r="I555" s="34" t="str">
        <x:f>IF(H555="","",IF(G555="역방향",8-H555,H555))</x:f>
      </x:c>
      <x:c r="J555" s="32"/>
      <x:c r="K555" s="32"/>
      <x:c r="L555" s="32"/>
      <x:c r="M555" s="32"/>
    </x:row>
    <x:row r="556">
      <x:c r="A556" s="32"/>
      <x:c r="B556"/>
      <x:c r="C556"/>
      <x:c r="D556"/>
      <x:c r="E556" s="20"/>
      <x:c r="F556"/>
      <x:c r="G556"/>
      <x:c r="H556" s="34"/>
      <x:c r="I556" s="34" t="str">
        <x:f>IF(H556="","",IF(G556="역방향",8-H556,H556))</x:f>
      </x:c>
      <x:c r="J556" s="32"/>
      <x:c r="K556" s="32"/>
      <x:c r="L556" s="32"/>
      <x:c r="M556" s="32"/>
    </x:row>
    <x:row r="557">
      <x:c r="A557" s="32"/>
      <x:c r="B557"/>
      <x:c r="C557"/>
      <x:c r="D557"/>
      <x:c r="E557" s="20"/>
      <x:c r="F557"/>
      <x:c r="G557"/>
      <x:c r="H557" s="34"/>
      <x:c r="I557" s="34" t="str">
        <x:f>IF(H557="","",IF(G557="역방향",8-H557,H557))</x:f>
      </x:c>
      <x:c r="J557" s="32"/>
      <x:c r="K557" s="32"/>
      <x:c r="L557" s="32"/>
      <x:c r="M557" s="32"/>
    </x:row>
    <x:row r="558">
      <x:c r="A558" s="32"/>
      <x:c r="B558"/>
      <x:c r="C558"/>
      <x:c r="D558"/>
      <x:c r="E558" s="20"/>
      <x:c r="F558"/>
      <x:c r="G558"/>
      <x:c r="H558" s="34"/>
      <x:c r="I558" s="34" t="str">
        <x:f>IF(H558="","",IF(G558="역방향",8-H558,H558))</x:f>
      </x:c>
      <x:c r="J558" s="32"/>
      <x:c r="K558" s="32"/>
      <x:c r="L558" s="32"/>
      <x:c r="M558" s="32"/>
    </x:row>
    <x:row r="559">
      <x:c r="A559" s="32"/>
      <x:c r="B559"/>
      <x:c r="C559"/>
      <x:c r="D559"/>
      <x:c r="E559" s="20"/>
      <x:c r="F559"/>
      <x:c r="G559"/>
      <x:c r="H559" s="34"/>
      <x:c r="I559" s="34" t="str">
        <x:f>IF(H559="","",IF(G559="역방향",8-H559,H559))</x:f>
      </x:c>
      <x:c r="J559" s="32"/>
      <x:c r="K559" s="32"/>
      <x:c r="L559" s="32"/>
      <x:c r="M559" s="32"/>
    </x:row>
    <x:row r="560">
      <x:c r="A560" s="32"/>
      <x:c r="B560"/>
      <x:c r="C560"/>
      <x:c r="D560"/>
      <x:c r="E560" s="20"/>
      <x:c r="F560"/>
      <x:c r="G560"/>
      <x:c r="H560" s="34"/>
      <x:c r="I560" s="34" t="str">
        <x:f>IF(H560="","",IF(G560="역방향",8-H560,H560))</x:f>
      </x:c>
      <x:c r="J560" s="32"/>
      <x:c r="K560" s="32"/>
      <x:c r="L560" s="32"/>
      <x:c r="M560" s="32"/>
    </x:row>
    <x:row r="561">
      <x:c r="A561" s="32"/>
      <x:c r="B561"/>
      <x:c r="C561"/>
      <x:c r="D561"/>
      <x:c r="E561" s="20"/>
      <x:c r="F561"/>
      <x:c r="G561"/>
      <x:c r="H561" s="34"/>
      <x:c r="I561" s="34" t="str">
        <x:f>IF(H561="","",IF(G561="역방향",8-H561,H561))</x:f>
      </x:c>
      <x:c r="J561" s="32"/>
      <x:c r="K561" s="32"/>
      <x:c r="L561" s="32"/>
      <x:c r="M561" s="32"/>
    </x:row>
    <x:row r="562">
      <x:c r="A562" s="32"/>
      <x:c r="B562"/>
      <x:c r="C562"/>
      <x:c r="D562"/>
      <x:c r="E562" s="20"/>
      <x:c r="F562"/>
      <x:c r="G562"/>
      <x:c r="H562" s="34"/>
      <x:c r="I562" s="34" t="str">
        <x:f>IF(H562="","",IF(G562="역방향",8-H562,H562))</x:f>
      </x:c>
      <x:c r="J562" s="32"/>
      <x:c r="K562" s="32"/>
      <x:c r="L562" s="32"/>
      <x:c r="M562" s="32"/>
    </x:row>
    <x:row r="563">
      <x:c r="A563" s="32"/>
      <x:c r="B563"/>
      <x:c r="C563"/>
      <x:c r="D563"/>
      <x:c r="E563" s="20"/>
      <x:c r="F563"/>
      <x:c r="G563"/>
      <x:c r="H563" s="34"/>
      <x:c r="I563" s="34" t="str">
        <x:f>IF(H563="","",IF(G563="역방향",8-H563,H563))</x:f>
      </x:c>
      <x:c r="J563" s="32"/>
      <x:c r="K563" s="32"/>
      <x:c r="L563" s="32"/>
      <x:c r="M563" s="32"/>
    </x:row>
    <x:row r="564">
      <x:c r="A564" s="32"/>
      <x:c r="B564"/>
      <x:c r="C564"/>
      <x:c r="D564"/>
      <x:c r="E564" s="20"/>
      <x:c r="F564"/>
      <x:c r="G564"/>
      <x:c r="H564" s="34"/>
      <x:c r="I564" s="34" t="str">
        <x:f>IF(H564="","",IF(G564="역방향",8-H564,H564))</x:f>
      </x:c>
      <x:c r="J564" s="32"/>
      <x:c r="K564" s="32"/>
      <x:c r="L564" s="32"/>
      <x:c r="M564" s="32"/>
    </x:row>
    <x:row r="565">
      <x:c r="A565" s="32"/>
      <x:c r="B565"/>
      <x:c r="C565"/>
      <x:c r="D565"/>
      <x:c r="E565" s="20"/>
      <x:c r="F565"/>
      <x:c r="G565"/>
      <x:c r="H565" s="34"/>
      <x:c r="I565" s="34" t="str">
        <x:f>IF(H565="","",IF(G565="역방향",8-H565,H565))</x:f>
      </x:c>
      <x:c r="J565" s="32"/>
      <x:c r="K565" s="32"/>
      <x:c r="L565" s="32"/>
      <x:c r="M565" s="32"/>
    </x:row>
    <x:row r="566">
      <x:c r="A566" s="32"/>
      <x:c r="B566"/>
      <x:c r="C566"/>
      <x:c r="D566"/>
      <x:c r="E566" s="20"/>
      <x:c r="F566"/>
      <x:c r="G566"/>
      <x:c r="H566" s="34"/>
      <x:c r="I566" s="34" t="str">
        <x:f>IF(H566="","",IF(G566="역방향",8-H566,H566))</x:f>
      </x:c>
      <x:c r="J566" s="32"/>
      <x:c r="K566" s="32"/>
      <x:c r="L566" s="32"/>
      <x:c r="M566" s="32"/>
    </x:row>
    <x:row r="567">
      <x:c r="A567" s="32"/>
      <x:c r="B567"/>
      <x:c r="C567"/>
      <x:c r="D567"/>
      <x:c r="E567" s="20"/>
      <x:c r="F567"/>
      <x:c r="G567"/>
      <x:c r="H567" s="34"/>
      <x:c r="I567" s="34" t="str">
        <x:f>IF(H567="","",IF(G567="역방향",8-H567,H567))</x:f>
      </x:c>
      <x:c r="J567" s="32"/>
      <x:c r="K567" s="32"/>
      <x:c r="L567" s="32"/>
      <x:c r="M567" s="32"/>
    </x:row>
    <x:row r="568">
      <x:c r="A568" s="32"/>
      <x:c r="B568"/>
      <x:c r="C568"/>
      <x:c r="D568"/>
      <x:c r="E568" s="20"/>
      <x:c r="F568"/>
      <x:c r="G568"/>
      <x:c r="H568" s="34"/>
      <x:c r="I568" s="34" t="str">
        <x:f>IF(H568="","",IF(G568="역방향",8-H568,H568))</x:f>
      </x:c>
      <x:c r="J568" s="32"/>
      <x:c r="K568" s="32"/>
      <x:c r="L568" s="32"/>
      <x:c r="M568" s="32"/>
    </x:row>
    <x:row r="569">
      <x:c r="A569" s="32"/>
      <x:c r="B569"/>
      <x:c r="C569"/>
      <x:c r="D569"/>
      <x:c r="E569" s="20"/>
      <x:c r="F569"/>
      <x:c r="G569"/>
      <x:c r="H569" s="34"/>
      <x:c r="I569" s="34" t="str">
        <x:f>IF(H569="","",IF(G569="역방향",8-H569,H569))</x:f>
      </x:c>
      <x:c r="J569" s="32"/>
      <x:c r="K569" s="32"/>
      <x:c r="L569" s="32"/>
      <x:c r="M569" s="32"/>
    </x:row>
    <x:row r="570">
      <x:c r="A570" s="32"/>
      <x:c r="B570"/>
      <x:c r="C570"/>
      <x:c r="D570"/>
      <x:c r="E570" s="20"/>
      <x:c r="F570"/>
      <x:c r="G570"/>
      <x:c r="H570" s="34"/>
      <x:c r="I570" s="34" t="str">
        <x:f>IF(H570="","",IF(G570="역방향",8-H570,H570))</x:f>
      </x:c>
      <x:c r="J570" s="32"/>
      <x:c r="K570" s="32"/>
      <x:c r="L570" s="32"/>
      <x:c r="M570" s="32"/>
    </x:row>
    <x:row r="571">
      <x:c r="A571" s="32"/>
      <x:c r="B571"/>
      <x:c r="C571"/>
      <x:c r="D571"/>
      <x:c r="E571" s="20"/>
      <x:c r="F571"/>
      <x:c r="G571"/>
      <x:c r="H571" s="34"/>
      <x:c r="I571" s="34" t="str">
        <x:f>IF(H571="","",IF(G571="역방향",8-H571,H571))</x:f>
      </x:c>
      <x:c r="J571" s="32"/>
      <x:c r="K571" s="32"/>
      <x:c r="L571" s="32"/>
      <x:c r="M571" s="32"/>
    </x:row>
    <x:row r="572">
      <x:c r="A572" s="32"/>
      <x:c r="B572"/>
      <x:c r="C572"/>
      <x:c r="D572"/>
      <x:c r="E572" s="20"/>
      <x:c r="F572"/>
      <x:c r="G572"/>
      <x:c r="H572" s="34"/>
      <x:c r="I572" s="34" t="str">
        <x:f>IF(H572="","",IF(G572="역방향",8-H572,H572))</x:f>
      </x:c>
      <x:c r="J572" s="32"/>
      <x:c r="K572" s="32"/>
      <x:c r="L572" s="32"/>
      <x:c r="M572" s="32"/>
    </x:row>
    <x:row r="573">
      <x:c r="A573" s="32"/>
      <x:c r="B573"/>
      <x:c r="C573"/>
      <x:c r="D573"/>
      <x:c r="E573" s="20"/>
      <x:c r="F573"/>
      <x:c r="G573"/>
      <x:c r="H573" s="34"/>
      <x:c r="I573" s="34" t="str">
        <x:f>IF(H573="","",IF(G573="역방향",8-H573,H573))</x:f>
      </x:c>
      <x:c r="J573" s="32"/>
      <x:c r="K573" s="32"/>
      <x:c r="L573" s="32"/>
      <x:c r="M573" s="32"/>
    </x:row>
    <x:row r="574">
      <x:c r="A574" s="32"/>
      <x:c r="B574"/>
      <x:c r="C574"/>
      <x:c r="D574"/>
      <x:c r="E574" s="20"/>
      <x:c r="F574"/>
      <x:c r="G574"/>
      <x:c r="H574" s="34"/>
      <x:c r="I574" s="34" t="str">
        <x:f>IF(H574="","",IF(G574="역방향",8-H574,H574))</x:f>
      </x:c>
      <x:c r="J574" s="32"/>
      <x:c r="K574" s="32"/>
      <x:c r="L574" s="32"/>
      <x:c r="M574" s="32"/>
    </x:row>
    <x:row r="575">
      <x:c r="A575" s="32"/>
      <x:c r="B575"/>
      <x:c r="C575"/>
      <x:c r="D575"/>
      <x:c r="E575" s="20"/>
      <x:c r="F575"/>
      <x:c r="G575"/>
      <x:c r="H575" s="34"/>
      <x:c r="I575" s="34" t="str">
        <x:f>IF(H575="","",IF(G575="역방향",8-H575,H575))</x:f>
      </x:c>
      <x:c r="J575" s="32"/>
      <x:c r="K575" s="32"/>
      <x:c r="L575" s="32"/>
      <x:c r="M575" s="32"/>
    </x:row>
    <x:row r="576">
      <x:c r="A576" s="32"/>
      <x:c r="B576"/>
      <x:c r="C576"/>
      <x:c r="D576"/>
      <x:c r="E576" s="20"/>
      <x:c r="F576"/>
      <x:c r="G576"/>
      <x:c r="H576" s="34"/>
      <x:c r="I576" s="34" t="str">
        <x:f>IF(H576="","",IF(G576="역방향",8-H576,H576))</x:f>
      </x:c>
      <x:c r="J576" s="32"/>
      <x:c r="K576" s="32"/>
      <x:c r="L576" s="32"/>
      <x:c r="M576" s="32"/>
    </x:row>
    <x:row r="577">
      <x:c r="A577" s="32"/>
      <x:c r="B577"/>
      <x:c r="C577"/>
      <x:c r="D577"/>
      <x:c r="E577" s="20"/>
      <x:c r="F577"/>
      <x:c r="G577"/>
      <x:c r="H577" s="34"/>
      <x:c r="I577" s="34" t="str">
        <x:f>IF(H577="","",IF(G577="역방향",8-H577,H577))</x:f>
      </x:c>
      <x:c r="J577" s="32"/>
      <x:c r="K577" s="32"/>
      <x:c r="L577" s="32"/>
      <x:c r="M577" s="32"/>
    </x:row>
    <x:row r="578">
      <x:c r="A578" s="32"/>
      <x:c r="B578"/>
      <x:c r="C578"/>
      <x:c r="D578"/>
      <x:c r="E578" s="20"/>
      <x:c r="F578"/>
      <x:c r="G578"/>
      <x:c r="H578" s="34"/>
      <x:c r="I578" s="34" t="str">
        <x:f>IF(H578="","",IF(G578="역방향",8-H578,H578))</x:f>
      </x:c>
      <x:c r="J578" s="32"/>
      <x:c r="K578" s="32"/>
      <x:c r="L578" s="32"/>
      <x:c r="M578" s="32"/>
    </x:row>
    <x:row r="579">
      <x:c r="A579" s="32"/>
      <x:c r="B579"/>
      <x:c r="C579"/>
      <x:c r="D579"/>
      <x:c r="E579" s="20"/>
      <x:c r="F579"/>
      <x:c r="G579"/>
      <x:c r="H579" s="34"/>
      <x:c r="I579" s="34" t="str">
        <x:f>IF(H579="","",IF(G579="역방향",8-H579,H579))</x:f>
      </x:c>
      <x:c r="J579" s="32"/>
      <x:c r="K579" s="32"/>
      <x:c r="L579" s="32"/>
      <x:c r="M579" s="32"/>
    </x:row>
    <x:row r="580">
      <x:c r="A580" s="32"/>
      <x:c r="B580"/>
      <x:c r="C580"/>
      <x:c r="D580"/>
      <x:c r="E580" s="20"/>
      <x:c r="F580"/>
      <x:c r="G580"/>
      <x:c r="H580" s="34"/>
      <x:c r="I580" s="34" t="str">
        <x:f>IF(H580="","",IF(G580="역방향",8-H580,H580))</x:f>
      </x:c>
      <x:c r="J580" s="32"/>
      <x:c r="K580" s="32"/>
      <x:c r="L580" s="32"/>
      <x:c r="M580" s="32"/>
    </x:row>
    <x:row r="581">
      <x:c r="A581" s="32"/>
      <x:c r="B581"/>
      <x:c r="C581"/>
      <x:c r="D581"/>
      <x:c r="E581" s="20"/>
      <x:c r="F581"/>
      <x:c r="G581"/>
      <x:c r="H581" s="34"/>
      <x:c r="I581" s="34" t="str">
        <x:f>IF(H581="","",IF(G581="역방향",8-H581,H581))</x:f>
      </x:c>
      <x:c r="J581" s="32"/>
      <x:c r="K581" s="32"/>
      <x:c r="L581" s="32"/>
      <x:c r="M581" s="32"/>
    </x:row>
    <x:row r="582">
      <x:c r="A582" s="32"/>
      <x:c r="B582"/>
      <x:c r="C582"/>
      <x:c r="D582"/>
      <x:c r="E582" s="20"/>
      <x:c r="F582"/>
      <x:c r="G582"/>
      <x:c r="H582" s="34"/>
      <x:c r="I582" s="34" t="str">
        <x:f>IF(H582="","",IF(G582="역방향",8-H582,H582))</x:f>
      </x:c>
      <x:c r="J582" s="32"/>
      <x:c r="K582" s="32"/>
      <x:c r="L582" s="32"/>
      <x:c r="M582" s="32"/>
    </x:row>
    <x:row r="583">
      <x:c r="A583" s="32"/>
      <x:c r="B583"/>
      <x:c r="C583"/>
      <x:c r="D583"/>
      <x:c r="E583" s="20"/>
      <x:c r="F583"/>
      <x:c r="G583"/>
      <x:c r="H583" s="34"/>
      <x:c r="I583" s="34" t="str">
        <x:f>IF(H583="","",IF(G583="역방향",8-H583,H583))</x:f>
      </x:c>
      <x:c r="J583" s="32"/>
      <x:c r="K583" s="32"/>
      <x:c r="L583" s="32"/>
      <x:c r="M583" s="32"/>
    </x:row>
    <x:row r="584">
      <x:c r="A584" s="32"/>
      <x:c r="B584"/>
      <x:c r="C584"/>
      <x:c r="D584"/>
      <x:c r="E584" s="20"/>
      <x:c r="F584"/>
      <x:c r="G584"/>
      <x:c r="H584" s="34"/>
      <x:c r="I584" s="34" t="str">
        <x:f>IF(H584="","",IF(G584="역방향",8-H584,H584))</x:f>
      </x:c>
      <x:c r="J584" s="32"/>
      <x:c r="K584" s="32"/>
      <x:c r="L584" s="32"/>
      <x:c r="M584" s="32"/>
    </x:row>
    <x:row r="585">
      <x:c r="A585" s="32"/>
      <x:c r="B585"/>
      <x:c r="C585"/>
      <x:c r="D585"/>
      <x:c r="E585" s="20"/>
      <x:c r="F585"/>
      <x:c r="G585"/>
      <x:c r="H585" s="34"/>
      <x:c r="I585" s="34" t="str">
        <x:f>IF(H585="","",IF(G585="역방향",8-H585,H585))</x:f>
      </x:c>
      <x:c r="J585" s="32"/>
      <x:c r="K585" s="32"/>
      <x:c r="L585" s="32"/>
      <x:c r="M585" s="32"/>
    </x:row>
    <x:row r="586">
      <x:c r="A586" s="32"/>
      <x:c r="B586"/>
      <x:c r="C586"/>
      <x:c r="D586"/>
      <x:c r="E586" s="20"/>
      <x:c r="F586"/>
      <x:c r="G586"/>
      <x:c r="H586" s="34"/>
      <x:c r="I586" s="34" t="str">
        <x:f>IF(H586="","",IF(G586="역방향",8-H586,H586))</x:f>
      </x:c>
      <x:c r="J586" s="32"/>
      <x:c r="K586" s="32"/>
      <x:c r="L586" s="32"/>
      <x:c r="M586" s="32"/>
    </x:row>
    <x:row r="587">
      <x:c r="A587" s="32"/>
      <x:c r="B587"/>
      <x:c r="C587"/>
      <x:c r="D587"/>
      <x:c r="E587" s="20"/>
      <x:c r="F587"/>
      <x:c r="G587"/>
      <x:c r="H587" s="34"/>
      <x:c r="I587" s="34" t="str">
        <x:f>IF(H587="","",IF(G587="역방향",8-H587,H587))</x:f>
      </x:c>
      <x:c r="J587" s="32"/>
      <x:c r="K587" s="32"/>
      <x:c r="L587" s="32"/>
      <x:c r="M587" s="32"/>
    </x:row>
    <x:row r="588">
      <x:c r="A588" s="32"/>
      <x:c r="B588"/>
      <x:c r="C588"/>
      <x:c r="D588"/>
      <x:c r="E588" s="20"/>
      <x:c r="F588"/>
      <x:c r="G588"/>
      <x:c r="H588" s="34"/>
      <x:c r="I588" s="34" t="str">
        <x:f>IF(H588="","",IF(G588="역방향",8-H588,H588))</x:f>
      </x:c>
      <x:c r="J588" s="32"/>
      <x:c r="K588" s="32"/>
      <x:c r="L588" s="32"/>
      <x:c r="M588" s="32"/>
    </x:row>
    <x:row r="589">
      <x:c r="A589" s="32"/>
      <x:c r="B589"/>
      <x:c r="C589"/>
      <x:c r="D589"/>
      <x:c r="E589" s="20"/>
      <x:c r="F589"/>
      <x:c r="G589"/>
      <x:c r="H589" s="34"/>
      <x:c r="I589" s="34" t="str">
        <x:f>IF(H589="","",IF(G589="역방향",8-H589,H589))</x:f>
      </x:c>
      <x:c r="J589" s="32"/>
      <x:c r="K589" s="32"/>
      <x:c r="L589" s="32"/>
      <x:c r="M589" s="32"/>
    </x:row>
    <x:row r="590">
      <x:c r="A590" s="32"/>
      <x:c r="B590"/>
      <x:c r="C590"/>
      <x:c r="D590"/>
      <x:c r="E590" s="20"/>
      <x:c r="F590"/>
      <x:c r="G590"/>
      <x:c r="H590" s="34"/>
      <x:c r="I590" s="34" t="str">
        <x:f>IF(H590="","",IF(G590="역방향",8-H590,H590))</x:f>
      </x:c>
      <x:c r="J590" s="32"/>
      <x:c r="K590" s="32"/>
      <x:c r="L590" s="32"/>
      <x:c r="M590" s="32"/>
    </x:row>
    <x:row r="591">
      <x:c r="A591" s="32"/>
      <x:c r="B591"/>
      <x:c r="C591"/>
      <x:c r="D591"/>
      <x:c r="E591" s="20"/>
      <x:c r="F591"/>
      <x:c r="G591"/>
      <x:c r="H591" s="34"/>
      <x:c r="I591" s="34" t="str">
        <x:f>IF(H591="","",IF(G591="역방향",8-H591,H591))</x:f>
      </x:c>
      <x:c r="J591" s="32"/>
      <x:c r="K591" s="32"/>
      <x:c r="L591" s="32"/>
      <x:c r="M591" s="32"/>
    </x:row>
    <x:row r="592">
      <x:c r="A592" s="32"/>
      <x:c r="B592"/>
      <x:c r="C592"/>
      <x:c r="D592"/>
      <x:c r="E592" s="20"/>
      <x:c r="F592"/>
      <x:c r="G592"/>
      <x:c r="H592" s="34"/>
      <x:c r="I592" s="34" t="str">
        <x:f>IF(H592="","",IF(G592="역방향",8-H592,H592))</x:f>
      </x:c>
      <x:c r="J592" s="32"/>
      <x:c r="K592" s="32"/>
      <x:c r="L592" s="32"/>
      <x:c r="M592" s="32"/>
    </x:row>
    <x:row r="593">
      <x:c r="A593" s="32"/>
      <x:c r="B593"/>
      <x:c r="C593"/>
      <x:c r="D593"/>
      <x:c r="E593" s="20"/>
      <x:c r="F593"/>
      <x:c r="G593"/>
      <x:c r="H593" s="34"/>
      <x:c r="I593" s="34" t="str">
        <x:f>IF(H593="","",IF(G593="역방향",8-H593,H593))</x:f>
      </x:c>
      <x:c r="J593" s="32"/>
      <x:c r="K593" s="32"/>
      <x:c r="L593" s="32"/>
      <x:c r="M593" s="32"/>
    </x:row>
    <x:row r="594">
      <x:c r="A594" s="32"/>
      <x:c r="B594"/>
      <x:c r="C594"/>
      <x:c r="D594"/>
      <x:c r="E594" s="20"/>
      <x:c r="F594"/>
      <x:c r="G594"/>
      <x:c r="H594" s="34"/>
      <x:c r="I594" s="34" t="str">
        <x:f>IF(H594="","",IF(G594="역방향",8-H594,H594))</x:f>
      </x:c>
      <x:c r="J594" s="32"/>
      <x:c r="K594" s="32"/>
      <x:c r="L594" s="32"/>
      <x:c r="M594" s="32"/>
    </x:row>
    <x:row r="595">
      <x:c r="A595" s="32"/>
      <x:c r="B595"/>
      <x:c r="C595"/>
      <x:c r="D595"/>
      <x:c r="E595" s="20"/>
      <x:c r="F595"/>
      <x:c r="G595"/>
      <x:c r="H595" s="34"/>
      <x:c r="I595" s="34" t="str">
        <x:f>IF(H595="","",IF(G595="역방향",8-H595,H595))</x:f>
      </x:c>
      <x:c r="J595" s="32"/>
      <x:c r="K595" s="32"/>
      <x:c r="L595" s="32"/>
      <x:c r="M595" s="32"/>
    </x:row>
    <x:row r="596">
      <x:c r="A596" s="32"/>
      <x:c r="B596"/>
      <x:c r="C596"/>
      <x:c r="D596"/>
      <x:c r="E596" s="20"/>
      <x:c r="F596"/>
      <x:c r="G596"/>
      <x:c r="H596" s="34"/>
      <x:c r="I596" s="34" t="str">
        <x:f>IF(H596="","",IF(G596="역방향",8-H596,H596))</x:f>
      </x:c>
      <x:c r="J596" s="32"/>
      <x:c r="K596" s="32"/>
      <x:c r="L596" s="32"/>
      <x:c r="M596" s="32"/>
    </x:row>
    <x:row r="597">
      <x:c r="A597" s="32"/>
      <x:c r="B597"/>
      <x:c r="C597"/>
      <x:c r="D597"/>
      <x:c r="E597" s="20"/>
      <x:c r="F597"/>
      <x:c r="G597"/>
      <x:c r="H597" s="34"/>
      <x:c r="I597" s="34" t="str">
        <x:f>IF(H597="","",IF(G597="역방향",8-H597,H597))</x:f>
      </x:c>
      <x:c r="J597" s="32"/>
      <x:c r="K597" s="32"/>
      <x:c r="L597" s="32"/>
      <x:c r="M597" s="32"/>
    </x:row>
    <x:row r="598">
      <x:c r="A598" s="32"/>
      <x:c r="B598"/>
      <x:c r="C598"/>
      <x:c r="D598"/>
      <x:c r="E598" s="20"/>
      <x:c r="F598"/>
      <x:c r="G598"/>
      <x:c r="H598" s="34"/>
      <x:c r="I598" s="34" t="str">
        <x:f>IF(H598="","",IF(G598="역방향",8-H598,H598))</x:f>
      </x:c>
      <x:c r="J598" s="32"/>
      <x:c r="K598" s="32"/>
      <x:c r="L598" s="32"/>
      <x:c r="M598" s="32"/>
    </x:row>
    <x:row r="599">
      <x:c r="A599" s="32"/>
      <x:c r="B599"/>
      <x:c r="C599"/>
      <x:c r="D599"/>
      <x:c r="E599" s="20"/>
      <x:c r="F599"/>
      <x:c r="G599"/>
      <x:c r="H599" s="34"/>
      <x:c r="I599" s="34" t="str">
        <x:f>IF(H599="","",IF(G599="역방향",8-H599,H599))</x:f>
      </x:c>
      <x:c r="J599" s="32"/>
      <x:c r="K599" s="32"/>
      <x:c r="L599" s="32"/>
      <x:c r="M599" s="32"/>
    </x:row>
    <x:row r="600">
      <x:c r="A600" s="32"/>
      <x:c r="B600"/>
      <x:c r="C600"/>
      <x:c r="D600"/>
      <x:c r="E600" s="20"/>
      <x:c r="F600"/>
      <x:c r="G600"/>
      <x:c r="H600" s="34"/>
      <x:c r="I600" s="34" t="str">
        <x:f>IF(H600="","",IF(G600="역방향",8-H600,H600))</x:f>
      </x:c>
      <x:c r="J600" s="32"/>
      <x:c r="K600" s="32"/>
      <x:c r="L600" s="32"/>
      <x:c r="M600" s="32"/>
    </x:row>
    <x:row r="601">
      <x:c r="A601" s="32"/>
      <x:c r="B601"/>
      <x:c r="C601"/>
      <x:c r="D601"/>
      <x:c r="E601" s="20"/>
      <x:c r="F601"/>
      <x:c r="G601"/>
      <x:c r="H601" s="34"/>
      <x:c r="I601" s="34" t="str">
        <x:f>IF(H601="","",IF(G601="역방향",8-H601,H601))</x:f>
      </x:c>
      <x:c r="J601" s="32"/>
      <x:c r="K601" s="32"/>
      <x:c r="L601" s="32"/>
      <x:c r="M601" s="32"/>
    </x:row>
    <x:row r="602">
      <x:c r="A602" s="32"/>
      <x:c r="B602"/>
      <x:c r="C602"/>
      <x:c r="D602"/>
      <x:c r="E602" s="20"/>
      <x:c r="F602"/>
      <x:c r="G602"/>
      <x:c r="H602" s="34"/>
      <x:c r="I602" s="34" t="str">
        <x:f>IF(H602="","",IF(G602="역방향",8-H602,H602))</x:f>
      </x:c>
      <x:c r="J602" s="32"/>
      <x:c r="K602" s="32"/>
      <x:c r="L602" s="32"/>
      <x:c r="M602" s="32"/>
    </x:row>
    <x:row r="603">
      <x:c r="A603" s="32"/>
      <x:c r="B603"/>
      <x:c r="C603"/>
      <x:c r="D603"/>
      <x:c r="E603" s="20"/>
      <x:c r="F603"/>
      <x:c r="G603"/>
      <x:c r="H603" s="34"/>
      <x:c r="I603" s="34" t="str">
        <x:f>IF(H603="","",IF(G603="역방향",8-H603,H603))</x:f>
      </x:c>
      <x:c r="J603" s="32"/>
      <x:c r="K603" s="32"/>
      <x:c r="L603" s="32"/>
      <x:c r="M603" s="32"/>
    </x:row>
    <x:row r="604">
      <x:c r="A604" s="32"/>
      <x:c r="B604"/>
      <x:c r="C604"/>
      <x:c r="D604"/>
      <x:c r="E604" s="20"/>
      <x:c r="F604"/>
      <x:c r="G604"/>
      <x:c r="H604" s="34"/>
      <x:c r="I604" s="34" t="str">
        <x:f>IF(H604="","",IF(G604="역방향",8-H604,H604))</x:f>
      </x:c>
      <x:c r="J604" s="32"/>
      <x:c r="K604" s="32"/>
      <x:c r="L604" s="32"/>
      <x:c r="M604" s="32"/>
    </x:row>
    <x:row r="605">
      <x:c r="A605" s="32"/>
      <x:c r="B605"/>
      <x:c r="C605"/>
      <x:c r="D605"/>
      <x:c r="E605" s="20"/>
      <x:c r="F605"/>
      <x:c r="G605"/>
      <x:c r="H605" s="34"/>
      <x:c r="I605" s="34" t="str">
        <x:f>IF(H605="","",IF(G605="역방향",8-H605,H605))</x:f>
      </x:c>
      <x:c r="J605" s="32"/>
      <x:c r="K605" s="32"/>
      <x:c r="L605" s="32"/>
      <x:c r="M605" s="32"/>
    </x:row>
    <x:row r="606">
      <x:c r="A606" s="32"/>
      <x:c r="B606"/>
      <x:c r="C606"/>
      <x:c r="D606"/>
      <x:c r="E606" s="20"/>
      <x:c r="F606"/>
      <x:c r="G606"/>
      <x:c r="H606" s="34"/>
      <x:c r="I606" s="34" t="str">
        <x:f>IF(H606="","",IF(G606="역방향",8-H606,H606))</x:f>
      </x:c>
      <x:c r="J606" s="32"/>
      <x:c r="K606" s="32"/>
      <x:c r="L606" s="32"/>
      <x:c r="M606" s="32"/>
    </x:row>
    <x:row r="607">
      <x:c r="A607" s="32"/>
      <x:c r="B607"/>
      <x:c r="C607"/>
      <x:c r="D607"/>
      <x:c r="E607" s="20"/>
      <x:c r="F607"/>
      <x:c r="G607"/>
      <x:c r="H607" s="34"/>
      <x:c r="I607" s="34" t="str">
        <x:f>IF(H607="","",IF(G607="역방향",8-H607,H607))</x:f>
      </x:c>
      <x:c r="J607" s="32"/>
      <x:c r="K607" s="32"/>
      <x:c r="L607" s="32"/>
      <x:c r="M607" s="32"/>
    </x:row>
    <x:row r="608">
      <x:c r="A608" s="32"/>
      <x:c r="B608"/>
      <x:c r="C608"/>
      <x:c r="D608"/>
      <x:c r="E608" s="20"/>
      <x:c r="F608"/>
      <x:c r="G608"/>
      <x:c r="H608" s="34"/>
      <x:c r="I608" s="34" t="str">
        <x:f>IF(H608="","",IF(G608="역방향",8-H608,H608))</x:f>
      </x:c>
      <x:c r="J608" s="32"/>
      <x:c r="K608" s="32"/>
      <x:c r="L608" s="32"/>
      <x:c r="M608" s="32"/>
    </x:row>
    <x:row r="609">
      <x:c r="A609" s="32"/>
      <x:c r="B609"/>
      <x:c r="C609"/>
      <x:c r="D609"/>
      <x:c r="E609" s="20"/>
      <x:c r="F609"/>
      <x:c r="G609"/>
      <x:c r="H609" s="34"/>
      <x:c r="I609" s="34" t="str">
        <x:f>IF(H609="","",IF(G609="역방향",8-H609,H609))</x:f>
      </x:c>
      <x:c r="J609" s="32"/>
      <x:c r="K609" s="32"/>
      <x:c r="L609" s="32"/>
      <x:c r="M609" s="32"/>
    </x:row>
    <x:row r="610">
      <x:c r="A610" s="32"/>
      <x:c r="B610"/>
      <x:c r="C610"/>
      <x:c r="D610"/>
      <x:c r="E610" s="20"/>
      <x:c r="F610"/>
      <x:c r="G610"/>
      <x:c r="H610" s="34"/>
      <x:c r="I610" s="34" t="str">
        <x:f>IF(H610="","",IF(G610="역방향",8-H610,H610))</x:f>
      </x:c>
      <x:c r="J610" s="32"/>
      <x:c r="K610" s="32"/>
      <x:c r="L610" s="32"/>
      <x:c r="M610" s="32"/>
    </x:row>
    <x:row r="611">
      <x:c r="A611" s="32"/>
      <x:c r="B611"/>
      <x:c r="C611"/>
      <x:c r="D611"/>
      <x:c r="E611" s="20"/>
      <x:c r="F611"/>
      <x:c r="G611"/>
      <x:c r="H611" s="34"/>
      <x:c r="I611" s="34" t="str">
        <x:f>IF(H611="","",IF(G611="역방향",8-H611,H611))</x:f>
      </x:c>
      <x:c r="J611" s="32"/>
      <x:c r="K611" s="32"/>
      <x:c r="L611" s="32"/>
      <x:c r="M611" s="32"/>
    </x:row>
    <x:row r="612">
      <x:c r="A612" s="32"/>
      <x:c r="B612"/>
      <x:c r="C612"/>
      <x:c r="D612"/>
      <x:c r="E612" s="20"/>
      <x:c r="F612"/>
      <x:c r="G612"/>
      <x:c r="H612" s="34"/>
      <x:c r="I612" s="34" t="str">
        <x:f>IF(H612="","",IF(G612="역방향",8-H612,H612))</x:f>
      </x:c>
      <x:c r="J612" s="32"/>
      <x:c r="K612" s="32"/>
      <x:c r="L612" s="32"/>
      <x:c r="M612" s="32"/>
    </x:row>
    <x:row r="613">
      <x:c r="A613" s="32"/>
      <x:c r="B613"/>
      <x:c r="C613"/>
      <x:c r="D613"/>
      <x:c r="E613" s="20"/>
      <x:c r="F613"/>
      <x:c r="G613"/>
      <x:c r="H613" s="34"/>
      <x:c r="I613" s="34" t="str">
        <x:f>IF(H613="","",IF(G613="역방향",8-H613,H613))</x:f>
      </x:c>
      <x:c r="J613" s="32"/>
      <x:c r="K613" s="32"/>
      <x:c r="L613" s="32"/>
      <x:c r="M613" s="32"/>
    </x:row>
    <x:row r="614">
      <x:c r="A614" s="32"/>
      <x:c r="B614"/>
      <x:c r="C614"/>
      <x:c r="D614"/>
      <x:c r="E614" s="20"/>
      <x:c r="F614"/>
      <x:c r="G614"/>
      <x:c r="H614" s="34"/>
      <x:c r="I614" s="34" t="str">
        <x:f>IF(H614="","",IF(G614="역방향",8-H614,H614))</x:f>
      </x:c>
      <x:c r="J614" s="32"/>
      <x:c r="K614" s="32"/>
      <x:c r="L614" s="32"/>
      <x:c r="M614" s="32"/>
    </x:row>
    <x:row r="615">
      <x:c r="A615" s="32"/>
      <x:c r="B615"/>
      <x:c r="C615"/>
      <x:c r="D615"/>
      <x:c r="E615" s="20"/>
      <x:c r="F615"/>
      <x:c r="G615"/>
      <x:c r="H615" s="34"/>
      <x:c r="I615" s="34" t="str">
        <x:f>IF(H615="","",IF(G615="역방향",8-H615,H615))</x:f>
      </x:c>
      <x:c r="J615" s="32"/>
      <x:c r="K615" s="32"/>
      <x:c r="L615" s="32"/>
      <x:c r="M615" s="32"/>
    </x:row>
    <x:row r="616">
      <x:c r="A616" s="32"/>
      <x:c r="B616"/>
      <x:c r="C616"/>
      <x:c r="D616"/>
      <x:c r="E616" s="20"/>
      <x:c r="F616"/>
      <x:c r="G616"/>
      <x:c r="H616" s="34"/>
      <x:c r="I616" s="34" t="str">
        <x:f>IF(H616="","",IF(G616="역방향",8-H616,H616))</x:f>
      </x:c>
      <x:c r="J616" s="32"/>
      <x:c r="K616" s="32"/>
      <x:c r="L616" s="32"/>
      <x:c r="M616" s="32"/>
    </x:row>
    <x:row r="617">
      <x:c r="A617" s="32"/>
      <x:c r="B617"/>
      <x:c r="C617"/>
      <x:c r="D617"/>
      <x:c r="E617" s="20"/>
      <x:c r="F617"/>
      <x:c r="G617"/>
      <x:c r="H617" s="34"/>
      <x:c r="I617" s="34" t="str">
        <x:f>IF(H617="","",IF(G617="역방향",8-H617,H617))</x:f>
      </x:c>
      <x:c r="J617" s="32"/>
      <x:c r="K617" s="32"/>
      <x:c r="L617" s="32"/>
      <x:c r="M617" s="32"/>
    </x:row>
    <x:row r="618">
      <x:c r="A618" s="32"/>
      <x:c r="B618"/>
      <x:c r="C618"/>
      <x:c r="D618"/>
      <x:c r="E618" s="20"/>
      <x:c r="F618"/>
      <x:c r="G618"/>
      <x:c r="H618" s="34"/>
      <x:c r="I618" s="34" t="str">
        <x:f>IF(H618="","",IF(G618="역방향",8-H618,H618))</x:f>
      </x:c>
      <x:c r="J618" s="32"/>
      <x:c r="K618" s="32"/>
      <x:c r="L618" s="32"/>
      <x:c r="M618" s="32"/>
    </x:row>
    <x:row r="619">
      <x:c r="A619" s="32"/>
      <x:c r="B619"/>
      <x:c r="C619"/>
      <x:c r="D619"/>
      <x:c r="E619" s="20"/>
      <x:c r="F619"/>
      <x:c r="G619"/>
      <x:c r="H619" s="34"/>
      <x:c r="I619" s="34" t="str">
        <x:f>IF(H619="","",IF(G619="역방향",8-H619,H619))</x:f>
      </x:c>
      <x:c r="J619" s="32"/>
      <x:c r="K619" s="32"/>
      <x:c r="L619" s="32"/>
      <x:c r="M619" s="32"/>
    </x:row>
    <x:row r="620">
      <x:c r="A620" s="32"/>
      <x:c r="B620"/>
      <x:c r="C620"/>
      <x:c r="D620"/>
      <x:c r="E620" s="20"/>
      <x:c r="F620"/>
      <x:c r="G620"/>
      <x:c r="H620" s="34"/>
      <x:c r="I620" s="34" t="str">
        <x:f>IF(H620="","",IF(G620="역방향",8-H620,H620))</x:f>
      </x:c>
      <x:c r="J620" s="32"/>
      <x:c r="K620" s="32"/>
      <x:c r="L620" s="32"/>
      <x:c r="M620" s="32"/>
    </x:row>
    <x:row r="621">
      <x:c r="A621" s="32"/>
      <x:c r="B621"/>
      <x:c r="C621"/>
      <x:c r="D621"/>
      <x:c r="E621" s="20"/>
      <x:c r="F621"/>
      <x:c r="G621"/>
      <x:c r="H621" s="34"/>
      <x:c r="I621" s="34" t="str">
        <x:f>IF(H621="","",IF(G621="역방향",8-H621,H621))</x:f>
      </x:c>
      <x:c r="J621" s="32"/>
      <x:c r="K621" s="32"/>
      <x:c r="L621" s="32"/>
      <x:c r="M621" s="32"/>
    </x:row>
    <x:row r="622">
      <x:c r="A622" s="32"/>
      <x:c r="B622"/>
      <x:c r="C622"/>
      <x:c r="D622"/>
      <x:c r="E622" s="20"/>
      <x:c r="F622"/>
      <x:c r="G622"/>
      <x:c r="H622" s="34"/>
      <x:c r="I622" s="34" t="str">
        <x:f>IF(H622="","",IF(G622="역방향",8-H622,H622))</x:f>
      </x:c>
      <x:c r="J622" s="32"/>
      <x:c r="K622" s="32"/>
      <x:c r="L622" s="32"/>
      <x:c r="M622" s="32"/>
    </x:row>
    <x:row r="623">
      <x:c r="A623" s="32"/>
      <x:c r="B623"/>
      <x:c r="C623"/>
      <x:c r="D623"/>
      <x:c r="E623" s="20"/>
      <x:c r="F623"/>
      <x:c r="G623"/>
      <x:c r="H623" s="34"/>
      <x:c r="I623" s="34" t="str">
        <x:f>IF(H623="","",IF(G623="역방향",8-H623,H623))</x:f>
      </x:c>
      <x:c r="J623" s="32"/>
      <x:c r="K623" s="32"/>
      <x:c r="L623" s="32"/>
      <x:c r="M623" s="32"/>
    </x:row>
    <x:row r="624">
      <x:c r="A624" s="32"/>
      <x:c r="B624"/>
      <x:c r="C624"/>
      <x:c r="D624"/>
      <x:c r="E624" s="20"/>
      <x:c r="F624"/>
      <x:c r="G624"/>
      <x:c r="H624" s="34"/>
      <x:c r="I624" s="34" t="str">
        <x:f>IF(H624="","",IF(G624="역방향",8-H624,H624))</x:f>
      </x:c>
      <x:c r="J624" s="32"/>
      <x:c r="K624" s="32"/>
      <x:c r="L624" s="32"/>
      <x:c r="M624" s="32"/>
    </x:row>
    <x:row r="625">
      <x:c r="A625" s="32"/>
      <x:c r="B625"/>
      <x:c r="C625"/>
      <x:c r="D625"/>
      <x:c r="E625" s="20"/>
      <x:c r="F625"/>
      <x:c r="G625"/>
      <x:c r="H625" s="34"/>
      <x:c r="I625" s="34" t="str">
        <x:f>IF(H625="","",IF(G625="역방향",8-H625,H625))</x:f>
      </x:c>
      <x:c r="J625" s="32"/>
      <x:c r="K625" s="32"/>
      <x:c r="L625" s="32"/>
      <x:c r="M625" s="32"/>
    </x:row>
    <x:row r="626">
      <x:c r="A626" s="32"/>
      <x:c r="B626"/>
      <x:c r="C626"/>
      <x:c r="D626"/>
      <x:c r="E626" s="20"/>
      <x:c r="F626"/>
      <x:c r="G626"/>
      <x:c r="H626" s="34"/>
      <x:c r="I626" s="34" t="str">
        <x:f>IF(H626="","",IF(G626="역방향",8-H626,H626))</x:f>
      </x:c>
      <x:c r="J626" s="32"/>
      <x:c r="K626" s="32"/>
      <x:c r="L626" s="32"/>
      <x:c r="M626" s="32"/>
    </x:row>
    <x:row r="627">
      <x:c r="A627" s="32"/>
      <x:c r="B627"/>
      <x:c r="C627"/>
      <x:c r="D627"/>
      <x:c r="E627" s="20"/>
      <x:c r="F627"/>
      <x:c r="G627"/>
      <x:c r="H627" s="34"/>
      <x:c r="I627" s="34" t="str">
        <x:f>IF(H627="","",IF(G627="역방향",8-H627,H627))</x:f>
      </x:c>
      <x:c r="J627" s="32"/>
      <x:c r="K627" s="32"/>
      <x:c r="L627" s="32"/>
      <x:c r="M627" s="32"/>
    </x:row>
    <x:row r="628">
      <x:c r="A628" s="32"/>
      <x:c r="B628"/>
      <x:c r="C628"/>
      <x:c r="D628"/>
      <x:c r="E628" s="20"/>
      <x:c r="F628"/>
      <x:c r="G628"/>
      <x:c r="H628" s="34"/>
      <x:c r="I628" s="34" t="str">
        <x:f>IF(H628="","",IF(G628="역방향",8-H628,H628))</x:f>
      </x:c>
      <x:c r="J628" s="32"/>
      <x:c r="K628" s="32"/>
      <x:c r="L628" s="32"/>
      <x:c r="M628" s="32"/>
    </x:row>
    <x:row r="629">
      <x:c r="A629" s="32"/>
      <x:c r="B629"/>
      <x:c r="C629"/>
      <x:c r="D629"/>
      <x:c r="E629" s="20"/>
      <x:c r="F629"/>
      <x:c r="G629"/>
      <x:c r="H629" s="34"/>
      <x:c r="I629" s="34" t="str">
        <x:f>IF(H629="","",IF(G629="역방향",8-H629,H629))</x:f>
      </x:c>
      <x:c r="J629" s="32"/>
      <x:c r="K629" s="32"/>
      <x:c r="L629" s="32"/>
      <x:c r="M629" s="32"/>
    </x:row>
    <x:row r="630">
      <x:c r="A630" s="32"/>
      <x:c r="B630"/>
      <x:c r="C630"/>
      <x:c r="D630"/>
      <x:c r="E630" s="20"/>
      <x:c r="F630"/>
      <x:c r="G630"/>
      <x:c r="H630" s="34"/>
      <x:c r="I630" s="34" t="str">
        <x:f>IF(H630="","",IF(G630="역방향",8-H630,H630))</x:f>
      </x:c>
      <x:c r="J630" s="32"/>
      <x:c r="K630" s="32"/>
      <x:c r="L630" s="32"/>
      <x:c r="M630" s="32"/>
    </x:row>
    <x:row r="631">
      <x:c r="A631" s="32"/>
      <x:c r="B631"/>
      <x:c r="C631"/>
      <x:c r="D631"/>
      <x:c r="E631" s="20"/>
      <x:c r="F631"/>
      <x:c r="G631"/>
      <x:c r="H631" s="34"/>
      <x:c r="I631" s="34" t="str">
        <x:f>IF(H631="","",IF(G631="역방향",8-H631,H631))</x:f>
      </x:c>
      <x:c r="J631" s="32"/>
      <x:c r="K631" s="32"/>
      <x:c r="L631" s="32"/>
      <x:c r="M631" s="32"/>
    </x:row>
    <x:row r="632">
      <x:c r="A632" s="32"/>
      <x:c r="B632"/>
      <x:c r="C632"/>
      <x:c r="D632"/>
      <x:c r="E632" s="20"/>
      <x:c r="F632"/>
      <x:c r="G632"/>
      <x:c r="H632" s="34"/>
      <x:c r="I632" s="34" t="str">
        <x:f>IF(H632="","",IF(G632="역방향",8-H632,H632))</x:f>
      </x:c>
      <x:c r="J632" s="32"/>
      <x:c r="K632" s="32"/>
      <x:c r="L632" s="32"/>
      <x:c r="M632" s="32"/>
    </x:row>
    <x:row r="633">
      <x:c r="A633" s="32"/>
      <x:c r="B633"/>
      <x:c r="C633"/>
      <x:c r="D633"/>
      <x:c r="E633" s="20"/>
      <x:c r="F633"/>
      <x:c r="G633"/>
      <x:c r="H633" s="34"/>
      <x:c r="I633" s="34" t="str">
        <x:f>IF(H633="","",IF(G633="역방향",8-H633,H633))</x:f>
      </x:c>
      <x:c r="J633" s="32"/>
      <x:c r="K633" s="32"/>
      <x:c r="L633" s="32"/>
      <x:c r="M633" s="32"/>
    </x:row>
    <x:row r="634">
      <x:c r="A634" s="32"/>
      <x:c r="B634"/>
      <x:c r="C634"/>
      <x:c r="D634"/>
      <x:c r="E634" s="20"/>
      <x:c r="F634"/>
      <x:c r="G634"/>
      <x:c r="H634" s="34"/>
      <x:c r="I634" s="34" t="str">
        <x:f>IF(H634="","",IF(G634="역방향",8-H634,H634))</x:f>
      </x:c>
      <x:c r="J634" s="32"/>
      <x:c r="K634" s="32"/>
      <x:c r="L634" s="32"/>
      <x:c r="M634" s="32"/>
    </x:row>
    <x:row r="635">
      <x:c r="A635" s="32"/>
      <x:c r="B635"/>
      <x:c r="C635"/>
      <x:c r="D635"/>
      <x:c r="E635" s="20"/>
      <x:c r="F635"/>
      <x:c r="G635"/>
      <x:c r="H635" s="34"/>
      <x:c r="I635" s="34" t="str">
        <x:f>IF(H635="","",IF(G635="역방향",8-H635,H635))</x:f>
      </x:c>
      <x:c r="J635" s="32"/>
      <x:c r="K635" s="32"/>
      <x:c r="L635" s="32"/>
      <x:c r="M635" s="32"/>
    </x:row>
    <x:row r="636">
      <x:c r="A636" s="32"/>
      <x:c r="B636"/>
      <x:c r="C636"/>
      <x:c r="D636"/>
      <x:c r="E636" s="20"/>
      <x:c r="F636"/>
      <x:c r="G636"/>
      <x:c r="H636" s="34"/>
      <x:c r="I636" s="34" t="str">
        <x:f>IF(H636="","",IF(G636="역방향",8-H636,H636))</x:f>
      </x:c>
      <x:c r="J636" s="32"/>
      <x:c r="K636" s="32"/>
      <x:c r="L636" s="32"/>
      <x:c r="M636" s="32"/>
    </x:row>
    <x:row r="637">
      <x:c r="A637" s="32"/>
      <x:c r="B637"/>
      <x:c r="C637"/>
      <x:c r="D637"/>
      <x:c r="E637" s="20"/>
      <x:c r="F637"/>
      <x:c r="G637"/>
      <x:c r="H637" s="34"/>
      <x:c r="I637" s="34" t="str">
        <x:f>IF(H637="","",IF(G637="역방향",8-H637,H637))</x:f>
      </x:c>
      <x:c r="J637" s="32"/>
      <x:c r="K637" s="32"/>
      <x:c r="L637" s="32"/>
      <x:c r="M637" s="32"/>
    </x:row>
    <x:row r="638">
      <x:c r="A638" s="32"/>
      <x:c r="B638"/>
      <x:c r="C638"/>
      <x:c r="D638"/>
      <x:c r="E638" s="20"/>
      <x:c r="F638"/>
      <x:c r="G638"/>
      <x:c r="H638" s="34"/>
      <x:c r="I638" s="34" t="str">
        <x:f>IF(H638="","",IF(G638="역방향",8-H638,H638))</x:f>
      </x:c>
      <x:c r="J638" s="32"/>
      <x:c r="K638" s="32"/>
      <x:c r="L638" s="32"/>
      <x:c r="M638" s="32"/>
    </x:row>
    <x:row r="639">
      <x:c r="A639" s="32"/>
      <x:c r="B639"/>
      <x:c r="C639"/>
      <x:c r="D639"/>
      <x:c r="E639" s="20"/>
      <x:c r="F639"/>
      <x:c r="G639"/>
      <x:c r="H639" s="34"/>
      <x:c r="I639" s="34" t="str">
        <x:f>IF(H639="","",IF(G639="역방향",8-H639,H639))</x:f>
      </x:c>
      <x:c r="J639" s="32"/>
      <x:c r="K639" s="32"/>
      <x:c r="L639" s="32"/>
      <x:c r="M639" s="32"/>
    </x:row>
    <x:row r="640">
      <x:c r="A640" s="32"/>
      <x:c r="B640"/>
      <x:c r="C640"/>
      <x:c r="D640"/>
      <x:c r="E640" s="20"/>
      <x:c r="F640"/>
      <x:c r="G640"/>
      <x:c r="H640" s="34"/>
      <x:c r="I640" s="34" t="str">
        <x:f>IF(H640="","",IF(G640="역방향",8-H640,H640))</x:f>
      </x:c>
      <x:c r="J640" s="32"/>
      <x:c r="K640" s="32"/>
      <x:c r="L640" s="32"/>
      <x:c r="M640" s="32"/>
    </x:row>
    <x:row r="641">
      <x:c r="A641" s="32"/>
      <x:c r="B641"/>
      <x:c r="C641"/>
      <x:c r="D641"/>
      <x:c r="E641" s="20"/>
      <x:c r="F641"/>
      <x:c r="G641"/>
      <x:c r="H641" s="34"/>
      <x:c r="I641" s="34" t="str">
        <x:f>IF(H641="","",IF(G641="역방향",8-H641,H641))</x:f>
      </x:c>
      <x:c r="J641" s="32"/>
      <x:c r="K641" s="32"/>
      <x:c r="L641" s="32"/>
      <x:c r="M641" s="32"/>
    </x:row>
    <x:row r="642">
      <x:c r="A642" s="32"/>
      <x:c r="B642"/>
      <x:c r="C642"/>
      <x:c r="D642"/>
      <x:c r="E642" s="20"/>
      <x:c r="F642"/>
      <x:c r="G642"/>
      <x:c r="H642" s="34"/>
      <x:c r="I642" s="34" t="str">
        <x:f>IF(H642="","",IF(G642="역방향",8-H642,H642))</x:f>
      </x:c>
      <x:c r="J642" s="32"/>
      <x:c r="K642" s="32"/>
      <x:c r="L642" s="32"/>
      <x:c r="M642" s="32"/>
    </x:row>
    <x:row r="643">
      <x:c r="A643" s="32"/>
      <x:c r="B643"/>
      <x:c r="C643"/>
      <x:c r="D643"/>
      <x:c r="E643" s="20"/>
      <x:c r="F643"/>
      <x:c r="G643"/>
      <x:c r="H643" s="34"/>
      <x:c r="I643" s="34" t="str">
        <x:f>IF(H643="","",IF(G643="역방향",8-H643,H643))</x:f>
      </x:c>
      <x:c r="J643" s="32"/>
      <x:c r="K643" s="32"/>
      <x:c r="L643" s="32"/>
      <x:c r="M643" s="32"/>
    </x:row>
    <x:row r="644">
      <x:c r="A644" s="32"/>
      <x:c r="B644"/>
      <x:c r="C644"/>
      <x:c r="D644"/>
      <x:c r="E644" s="20"/>
      <x:c r="F644"/>
      <x:c r="G644"/>
      <x:c r="H644" s="34"/>
      <x:c r="I644" s="34" t="str">
        <x:f>IF(H644="","",IF(G644="역방향",8-H644,H644))</x:f>
      </x:c>
      <x:c r="J644" s="32"/>
      <x:c r="K644" s="32"/>
      <x:c r="L644" s="32"/>
      <x:c r="M644" s="32"/>
    </x:row>
    <x:row r="645">
      <x:c r="A645" s="32"/>
      <x:c r="B645"/>
      <x:c r="C645"/>
      <x:c r="D645"/>
      <x:c r="E645" s="20"/>
      <x:c r="F645"/>
      <x:c r="G645"/>
      <x:c r="H645" s="34"/>
      <x:c r="I645" s="34" t="str">
        <x:f>IF(H645="","",IF(G645="역방향",8-H645,H645))</x:f>
      </x:c>
      <x:c r="J645" s="32"/>
      <x:c r="K645" s="32"/>
      <x:c r="L645" s="32"/>
      <x:c r="M645" s="32"/>
    </x:row>
    <x:row r="646">
      <x:c r="A646" s="32"/>
      <x:c r="B646"/>
      <x:c r="C646"/>
      <x:c r="D646"/>
      <x:c r="E646" s="20"/>
      <x:c r="F646"/>
      <x:c r="G646"/>
      <x:c r="H646" s="34"/>
      <x:c r="I646" s="34" t="str">
        <x:f>IF(H646="","",IF(G646="역방향",8-H646,H646))</x:f>
      </x:c>
      <x:c r="J646" s="32"/>
      <x:c r="K646" s="32"/>
      <x:c r="L646" s="32"/>
      <x:c r="M646" s="32"/>
    </x:row>
    <x:row r="647">
      <x:c r="A647" s="32"/>
      <x:c r="B647"/>
      <x:c r="C647"/>
      <x:c r="D647"/>
      <x:c r="E647" s="20"/>
      <x:c r="F647"/>
      <x:c r="G647"/>
      <x:c r="H647" s="34"/>
      <x:c r="I647" s="34" t="str">
        <x:f>IF(H647="","",IF(G647="역방향",8-H647,H647))</x:f>
      </x:c>
      <x:c r="J647" s="32"/>
      <x:c r="K647" s="32"/>
      <x:c r="L647" s="32"/>
      <x:c r="M647" s="32"/>
    </x:row>
    <x:row r="648">
      <x:c r="A648" s="32"/>
      <x:c r="B648"/>
      <x:c r="C648"/>
      <x:c r="D648"/>
      <x:c r="E648" s="20"/>
      <x:c r="F648"/>
      <x:c r="G648"/>
      <x:c r="H648" s="34"/>
      <x:c r="I648" s="34" t="str">
        <x:f>IF(H648="","",IF(G648="역방향",8-H648,H648))</x:f>
      </x:c>
      <x:c r="J648" s="32"/>
      <x:c r="K648" s="32"/>
      <x:c r="L648" s="32"/>
      <x:c r="M648" s="32"/>
    </x:row>
    <x:row r="649">
      <x:c r="A649" s="32"/>
      <x:c r="B649"/>
      <x:c r="C649"/>
      <x:c r="D649"/>
      <x:c r="E649" s="20"/>
      <x:c r="F649"/>
      <x:c r="G649"/>
      <x:c r="H649" s="34"/>
      <x:c r="I649" s="34" t="str">
        <x:f>IF(H649="","",IF(G649="역방향",8-H649,H649))</x:f>
      </x:c>
      <x:c r="J649" s="32"/>
      <x:c r="K649" s="32"/>
      <x:c r="L649" s="32"/>
      <x:c r="M649" s="32"/>
    </x:row>
    <x:row r="650">
      <x:c r="A650" s="32"/>
      <x:c r="B650"/>
      <x:c r="C650"/>
      <x:c r="D650"/>
      <x:c r="E650" s="20"/>
      <x:c r="F650"/>
      <x:c r="G650"/>
      <x:c r="H650" s="34"/>
      <x:c r="I650" s="34" t="str">
        <x:f>IF(H650="","",IF(G650="역방향",8-H650,H650))</x:f>
      </x:c>
      <x:c r="J650" s="32"/>
      <x:c r="K650" s="32"/>
      <x:c r="L650" s="32"/>
      <x:c r="M650" s="32"/>
    </x:row>
    <x:row r="651">
      <x:c r="A651" s="32"/>
      <x:c r="B651"/>
      <x:c r="C651"/>
      <x:c r="D651"/>
      <x:c r="E651" s="20"/>
      <x:c r="F651"/>
      <x:c r="G651"/>
      <x:c r="H651" s="34"/>
      <x:c r="I651" s="34" t="str">
        <x:f>IF(H651="","",IF(G651="역방향",8-H651,H651))</x:f>
      </x:c>
      <x:c r="J651" s="32"/>
      <x:c r="K651" s="32"/>
      <x:c r="L651" s="32"/>
      <x:c r="M651" s="32"/>
    </x:row>
    <x:row r="652">
      <x:c r="A652" s="32"/>
      <x:c r="B652"/>
      <x:c r="C652"/>
      <x:c r="D652"/>
      <x:c r="E652" s="20"/>
      <x:c r="F652"/>
      <x:c r="G652"/>
      <x:c r="H652" s="34"/>
      <x:c r="I652" s="34" t="str">
        <x:f>IF(H652="","",IF(G652="역방향",8-H652,H652))</x:f>
      </x:c>
      <x:c r="J652" s="32"/>
      <x:c r="K652" s="32"/>
      <x:c r="L652" s="32"/>
      <x:c r="M652" s="32"/>
    </x:row>
    <x:row r="653">
      <x:c r="A653" s="32"/>
      <x:c r="B653"/>
      <x:c r="C653"/>
      <x:c r="D653"/>
      <x:c r="E653" s="20"/>
      <x:c r="F653"/>
      <x:c r="G653"/>
      <x:c r="H653" s="34"/>
      <x:c r="I653" s="34" t="str">
        <x:f>IF(H653="","",IF(G653="역방향",8-H653,H653))</x:f>
      </x:c>
      <x:c r="J653" s="32"/>
      <x:c r="K653" s="32"/>
      <x:c r="L653" s="32"/>
      <x:c r="M653" s="32"/>
    </x:row>
    <x:row r="654">
      <x:c r="A654" s="32"/>
      <x:c r="B654"/>
      <x:c r="C654"/>
      <x:c r="D654"/>
      <x:c r="E654" s="20"/>
      <x:c r="F654"/>
      <x:c r="G654"/>
      <x:c r="H654" s="34"/>
      <x:c r="I654" s="34" t="str">
        <x:f>IF(H654="","",IF(G654="역방향",8-H654,H654))</x:f>
      </x:c>
      <x:c r="J654" s="32"/>
      <x:c r="K654" s="32"/>
      <x:c r="L654" s="32"/>
      <x:c r="M654" s="32"/>
    </x:row>
    <x:row r="655">
      <x:c r="A655" s="32"/>
      <x:c r="B655"/>
      <x:c r="C655"/>
      <x:c r="D655"/>
      <x:c r="E655" s="20"/>
      <x:c r="F655"/>
      <x:c r="G655"/>
      <x:c r="H655" s="34"/>
      <x:c r="I655" s="34" t="str">
        <x:f>IF(H655="","",IF(G655="역방향",8-H655,H655))</x:f>
      </x:c>
      <x:c r="J655" s="32"/>
      <x:c r="K655" s="32"/>
      <x:c r="L655" s="32"/>
      <x:c r="M655" s="32"/>
    </x:row>
    <x:row r="656">
      <x:c r="A656" s="32"/>
      <x:c r="B656"/>
      <x:c r="C656"/>
      <x:c r="D656"/>
      <x:c r="E656" s="20"/>
      <x:c r="F656"/>
      <x:c r="G656"/>
      <x:c r="H656" s="34"/>
      <x:c r="I656" s="34" t="str">
        <x:f>IF(H656="","",IF(G656="역방향",8-H656,H656))</x:f>
      </x:c>
      <x:c r="J656" s="32"/>
      <x:c r="K656" s="32"/>
      <x:c r="L656" s="32"/>
      <x:c r="M656" s="32"/>
    </x:row>
    <x:row r="657">
      <x:c r="A657" s="32"/>
      <x:c r="B657"/>
      <x:c r="C657"/>
      <x:c r="D657"/>
      <x:c r="E657" s="20"/>
      <x:c r="F657"/>
      <x:c r="G657"/>
      <x:c r="H657" s="34"/>
      <x:c r="I657" s="34" t="str">
        <x:f>IF(H657="","",IF(G657="역방향",8-H657,H657))</x:f>
      </x:c>
      <x:c r="J657" s="32"/>
      <x:c r="K657" s="32"/>
      <x:c r="L657" s="32"/>
      <x:c r="M657" s="32"/>
    </x:row>
    <x:row r="658">
      <x:c r="A658" s="32"/>
      <x:c r="B658"/>
      <x:c r="C658"/>
      <x:c r="D658"/>
      <x:c r="E658" s="20"/>
      <x:c r="F658"/>
      <x:c r="G658"/>
      <x:c r="H658" s="34"/>
      <x:c r="I658" s="34" t="str">
        <x:f>IF(H658="","",IF(G658="역방향",8-H658,H658))</x:f>
      </x:c>
      <x:c r="J658" s="32"/>
      <x:c r="K658" s="32"/>
      <x:c r="L658" s="32"/>
      <x:c r="M658" s="32"/>
    </x:row>
    <x:row r="659">
      <x:c r="A659" s="32"/>
      <x:c r="B659"/>
      <x:c r="C659"/>
      <x:c r="D659"/>
      <x:c r="E659" s="20"/>
      <x:c r="F659"/>
      <x:c r="G659"/>
      <x:c r="H659" s="34"/>
      <x:c r="I659" s="34" t="str">
        <x:f>IF(H659="","",IF(G659="역방향",8-H659,H659))</x:f>
      </x:c>
      <x:c r="J659" s="32"/>
      <x:c r="K659" s="32"/>
      <x:c r="L659" s="32"/>
      <x:c r="M659" s="32"/>
    </x:row>
    <x:row r="660">
      <x:c r="A660" s="32"/>
      <x:c r="B660"/>
      <x:c r="C660"/>
      <x:c r="D660"/>
      <x:c r="E660" s="20"/>
      <x:c r="F660"/>
      <x:c r="G660"/>
      <x:c r="H660" s="34"/>
      <x:c r="I660" s="34" t="str">
        <x:f>IF(H660="","",IF(G660="역방향",8-H660,H660))</x:f>
      </x:c>
      <x:c r="J660" s="32"/>
      <x:c r="K660" s="32"/>
      <x:c r="L660" s="32"/>
      <x:c r="M660" s="32"/>
    </x:row>
    <x:row r="661">
      <x:c r="A661" s="32"/>
      <x:c r="B661"/>
      <x:c r="C661"/>
      <x:c r="D661"/>
      <x:c r="E661" s="20"/>
      <x:c r="F661"/>
      <x:c r="G661"/>
      <x:c r="H661" s="34"/>
      <x:c r="I661" s="34" t="str">
        <x:f>IF(H661="","",IF(G661="역방향",8-H661,H661))</x:f>
      </x:c>
      <x:c r="J661" s="32"/>
      <x:c r="K661" s="32"/>
      <x:c r="L661" s="32"/>
      <x:c r="M661" s="32"/>
    </x:row>
    <x:row r="662">
      <x:c r="A662" s="32"/>
      <x:c r="B662"/>
      <x:c r="C662"/>
      <x:c r="D662"/>
      <x:c r="E662" s="20"/>
      <x:c r="F662"/>
      <x:c r="G662"/>
      <x:c r="H662" s="34"/>
      <x:c r="I662" s="34" t="str">
        <x:f>IF(H662="","",IF(G662="역방향",8-H662,H662))</x:f>
      </x:c>
      <x:c r="J662" s="32"/>
      <x:c r="K662" s="32"/>
      <x:c r="L662" s="32"/>
      <x:c r="M662" s="32"/>
    </x:row>
    <x:row r="663">
      <x:c r="A663" s="32"/>
      <x:c r="B663"/>
      <x:c r="C663"/>
      <x:c r="D663"/>
      <x:c r="E663" s="20"/>
      <x:c r="F663"/>
      <x:c r="G663"/>
      <x:c r="H663" s="34"/>
      <x:c r="I663" s="34" t="str">
        <x:f>IF(H663="","",IF(G663="역방향",8-H663,H663))</x:f>
      </x:c>
      <x:c r="J663" s="32"/>
      <x:c r="K663" s="32"/>
      <x:c r="L663" s="32"/>
      <x:c r="M663" s="32"/>
    </x:row>
    <x:row r="664">
      <x:c r="A664" s="32"/>
      <x:c r="B664"/>
      <x:c r="C664"/>
      <x:c r="D664"/>
      <x:c r="E664" s="20"/>
      <x:c r="F664"/>
      <x:c r="G664"/>
      <x:c r="H664" s="34"/>
      <x:c r="I664" s="34" t="str">
        <x:f>IF(H664="","",IF(G664="역방향",8-H664,H664))</x:f>
      </x:c>
      <x:c r="J664" s="32"/>
      <x:c r="K664" s="32"/>
      <x:c r="L664" s="32"/>
      <x:c r="M664" s="32"/>
    </x:row>
    <x:row r="665">
      <x:c r="A665" s="32"/>
      <x:c r="B665"/>
      <x:c r="C665"/>
      <x:c r="D665"/>
      <x:c r="E665" s="20"/>
      <x:c r="F665"/>
      <x:c r="G665"/>
      <x:c r="H665" s="34"/>
      <x:c r="I665" s="34" t="str">
        <x:f>IF(H665="","",IF(G665="역방향",8-H665,H665))</x:f>
      </x:c>
      <x:c r="J665" s="32"/>
      <x:c r="K665" s="32"/>
      <x:c r="L665" s="32"/>
      <x:c r="M665" s="32"/>
    </x:row>
    <x:row r="666">
      <x:c r="A666" s="32"/>
      <x:c r="B666"/>
      <x:c r="C666"/>
      <x:c r="D666"/>
      <x:c r="E666" s="20"/>
      <x:c r="F666"/>
      <x:c r="G666"/>
      <x:c r="H666" s="34"/>
      <x:c r="I666" s="34" t="str">
        <x:f>IF(H666="","",IF(G666="역방향",8-H666,H666))</x:f>
      </x:c>
      <x:c r="J666" s="32"/>
      <x:c r="K666" s="32"/>
      <x:c r="L666" s="32"/>
      <x:c r="M666" s="32"/>
    </x:row>
    <x:row r="667">
      <x:c r="A667" s="32"/>
      <x:c r="B667"/>
      <x:c r="C667"/>
      <x:c r="D667"/>
      <x:c r="E667" s="20"/>
      <x:c r="F667"/>
      <x:c r="G667"/>
      <x:c r="H667" s="34"/>
      <x:c r="I667" s="34" t="str">
        <x:f>IF(H667="","",IF(G667="역방향",8-H667,H667))</x:f>
      </x:c>
      <x:c r="J667" s="32"/>
      <x:c r="K667" s="32"/>
      <x:c r="L667" s="32"/>
      <x:c r="M667" s="32"/>
    </x:row>
    <x:row r="668">
      <x:c r="A668" s="32"/>
      <x:c r="B668"/>
      <x:c r="C668"/>
      <x:c r="D668"/>
      <x:c r="E668" s="20"/>
      <x:c r="F668"/>
      <x:c r="G668"/>
      <x:c r="H668" s="34"/>
      <x:c r="I668" s="34" t="str">
        <x:f>IF(H668="","",IF(G668="역방향",8-H668,H668))</x:f>
      </x:c>
      <x:c r="J668" s="32"/>
      <x:c r="K668" s="32"/>
      <x:c r="L668" s="32"/>
      <x:c r="M668" s="32"/>
    </x:row>
    <x:row r="669">
      <x:c r="A669" s="32"/>
      <x:c r="B669"/>
      <x:c r="C669"/>
      <x:c r="D669"/>
      <x:c r="E669" s="20"/>
      <x:c r="F669"/>
      <x:c r="G669"/>
      <x:c r="H669" s="34"/>
      <x:c r="I669" s="34" t="str">
        <x:f>IF(H669="","",IF(G669="역방향",8-H669,H669))</x:f>
      </x:c>
      <x:c r="J669" s="32"/>
      <x:c r="K669" s="32"/>
      <x:c r="L669" s="32"/>
      <x:c r="M669" s="32"/>
    </x:row>
    <x:row r="670">
      <x:c r="A670" s="32"/>
      <x:c r="B670"/>
      <x:c r="C670"/>
      <x:c r="D670"/>
      <x:c r="E670" s="20"/>
      <x:c r="F670"/>
      <x:c r="G670"/>
      <x:c r="H670" s="34"/>
      <x:c r="I670" s="34" t="str">
        <x:f>IF(H670="","",IF(G670="역방향",8-H670,H670))</x:f>
      </x:c>
      <x:c r="J670" s="32"/>
      <x:c r="K670" s="32"/>
      <x:c r="L670" s="32"/>
      <x:c r="M670" s="32"/>
    </x:row>
    <x:row r="671">
      <x:c r="A671" s="32"/>
      <x:c r="B671"/>
      <x:c r="C671"/>
      <x:c r="D671"/>
      <x:c r="E671" s="20"/>
      <x:c r="F671"/>
      <x:c r="G671"/>
      <x:c r="H671" s="34"/>
      <x:c r="I671" s="34" t="str">
        <x:f>IF(H671="","",IF(G671="역방향",8-H671,H671))</x:f>
      </x:c>
      <x:c r="J671" s="32"/>
      <x:c r="K671" s="32"/>
      <x:c r="L671" s="32"/>
      <x:c r="M671" s="32"/>
    </x:row>
    <x:row r="672">
      <x:c r="A672" s="32"/>
      <x:c r="B672"/>
      <x:c r="C672"/>
      <x:c r="D672"/>
      <x:c r="E672" s="20"/>
      <x:c r="F672"/>
      <x:c r="G672"/>
      <x:c r="H672" s="34"/>
      <x:c r="I672" s="34" t="str">
        <x:f>IF(H672="","",IF(G672="역방향",8-H672,H672))</x:f>
      </x:c>
      <x:c r="J672" s="32"/>
      <x:c r="K672" s="32"/>
      <x:c r="L672" s="32"/>
      <x:c r="M672" s="32"/>
    </x:row>
    <x:row r="673">
      <x:c r="A673" s="32"/>
      <x:c r="B673"/>
      <x:c r="C673"/>
      <x:c r="D673"/>
      <x:c r="E673" s="20"/>
      <x:c r="F673"/>
      <x:c r="G673"/>
      <x:c r="H673" s="34"/>
      <x:c r="I673" s="34" t="str">
        <x:f>IF(H673="","",IF(G673="역방향",8-H673,H673))</x:f>
      </x:c>
      <x:c r="J673" s="32"/>
      <x:c r="K673" s="32"/>
      <x:c r="L673" s="32"/>
      <x:c r="M673" s="32"/>
    </x:row>
    <x:row r="674">
      <x:c r="A674" s="32"/>
      <x:c r="B674"/>
      <x:c r="C674"/>
      <x:c r="D674"/>
      <x:c r="E674" s="20"/>
      <x:c r="F674"/>
      <x:c r="G674"/>
      <x:c r="H674" s="34"/>
      <x:c r="I674" s="34" t="str">
        <x:f>IF(H674="","",IF(G674="역방향",8-H674,H674))</x:f>
      </x:c>
      <x:c r="J674" s="32"/>
      <x:c r="K674" s="32"/>
      <x:c r="L674" s="32"/>
      <x:c r="M674" s="32"/>
    </x:row>
    <x:row r="675">
      <x:c r="A675" s="32"/>
      <x:c r="B675"/>
      <x:c r="C675"/>
      <x:c r="D675"/>
      <x:c r="E675" s="20"/>
      <x:c r="F675"/>
      <x:c r="G675"/>
      <x:c r="H675" s="34"/>
      <x:c r="I675" s="34" t="str">
        <x:f>IF(H675="","",IF(G675="역방향",8-H675,H675))</x:f>
      </x:c>
      <x:c r="J675" s="32"/>
      <x:c r="K675" s="32"/>
      <x:c r="L675" s="32"/>
      <x:c r="M675" s="32"/>
    </x:row>
    <x:row r="676">
      <x:c r="A676" s="32"/>
      <x:c r="B676"/>
      <x:c r="C676"/>
      <x:c r="D676"/>
      <x:c r="E676" s="20"/>
      <x:c r="F676"/>
      <x:c r="G676"/>
      <x:c r="H676" s="34"/>
      <x:c r="I676" s="34" t="str">
        <x:f>IF(H676="","",IF(G676="역방향",8-H676,H676))</x:f>
      </x:c>
      <x:c r="J676" s="32"/>
      <x:c r="K676" s="32"/>
      <x:c r="L676" s="32"/>
      <x:c r="M676" s="32"/>
    </x:row>
    <x:row r="677">
      <x:c r="A677" s="32"/>
      <x:c r="B677"/>
      <x:c r="C677"/>
      <x:c r="D677"/>
      <x:c r="E677" s="20"/>
      <x:c r="F677"/>
      <x:c r="G677"/>
      <x:c r="H677" s="34"/>
      <x:c r="I677" s="34" t="str">
        <x:f>IF(H677="","",IF(G677="역방향",8-H677,H677))</x:f>
      </x:c>
      <x:c r="J677" s="32"/>
      <x:c r="K677" s="32"/>
      <x:c r="L677" s="32"/>
      <x:c r="M677" s="32"/>
    </x:row>
    <x:row r="678">
      <x:c r="A678" s="32"/>
      <x:c r="B678"/>
      <x:c r="C678"/>
      <x:c r="D678"/>
      <x:c r="E678" s="20"/>
      <x:c r="F678"/>
      <x:c r="G678"/>
      <x:c r="H678" s="34"/>
      <x:c r="I678" s="34" t="str">
        <x:f>IF(H678="","",IF(G678="역방향",8-H678,H678))</x:f>
      </x:c>
      <x:c r="J678" s="32"/>
      <x:c r="K678" s="32"/>
      <x:c r="L678" s="32"/>
      <x:c r="M678" s="32"/>
    </x:row>
    <x:row r="679">
      <x:c r="A679" s="32"/>
      <x:c r="B679"/>
      <x:c r="C679"/>
      <x:c r="D679"/>
      <x:c r="E679" s="20"/>
      <x:c r="F679"/>
      <x:c r="G679"/>
      <x:c r="H679" s="34"/>
      <x:c r="I679" s="34" t="str">
        <x:f>IF(H679="","",IF(G679="역방향",8-H679,H679))</x:f>
      </x:c>
      <x:c r="J679" s="32"/>
      <x:c r="K679" s="32"/>
      <x:c r="L679" s="32"/>
      <x:c r="M679" s="32"/>
    </x:row>
    <x:row r="680">
      <x:c r="A680" s="32"/>
      <x:c r="B680"/>
      <x:c r="C680"/>
      <x:c r="D680"/>
      <x:c r="E680" s="20"/>
      <x:c r="F680"/>
      <x:c r="G680"/>
      <x:c r="H680" s="34"/>
      <x:c r="I680" s="34" t="str">
        <x:f>IF(H680="","",IF(G680="역방향",8-H680,H680))</x:f>
      </x:c>
      <x:c r="J680" s="32"/>
      <x:c r="K680" s="32"/>
      <x:c r="L680" s="32"/>
      <x:c r="M680" s="32"/>
    </x:row>
    <x:row r="681">
      <x:c r="A681" s="32"/>
      <x:c r="B681"/>
      <x:c r="C681"/>
      <x:c r="D681"/>
      <x:c r="E681" s="20"/>
      <x:c r="F681"/>
      <x:c r="G681"/>
      <x:c r="H681" s="34"/>
      <x:c r="I681" s="34" t="str">
        <x:f>IF(H681="","",IF(G681="역방향",8-H681,H681))</x:f>
      </x:c>
      <x:c r="J681" s="32"/>
      <x:c r="K681" s="32"/>
      <x:c r="L681" s="32"/>
      <x:c r="M681" s="32"/>
    </x:row>
    <x:row r="682">
      <x:c r="A682" s="32"/>
      <x:c r="B682"/>
      <x:c r="C682"/>
      <x:c r="D682"/>
      <x:c r="E682" s="20"/>
      <x:c r="F682"/>
      <x:c r="G682"/>
      <x:c r="H682" s="34"/>
      <x:c r="I682" s="34" t="str">
        <x:f>IF(H682="","",IF(G682="역방향",8-H682,H682))</x:f>
      </x:c>
      <x:c r="J682" s="32"/>
      <x:c r="K682" s="32"/>
      <x:c r="L682" s="32"/>
      <x:c r="M682" s="32"/>
    </x:row>
    <x:row r="683">
      <x:c r="A683" s="32"/>
      <x:c r="B683"/>
      <x:c r="C683"/>
      <x:c r="D683"/>
      <x:c r="E683" s="20"/>
      <x:c r="F683"/>
      <x:c r="G683"/>
      <x:c r="H683" s="34"/>
      <x:c r="I683" s="34" t="str">
        <x:f>IF(H683="","",IF(G683="역방향",8-H683,H683))</x:f>
      </x:c>
      <x:c r="J683" s="32"/>
      <x:c r="K683" s="32"/>
      <x:c r="L683" s="32"/>
      <x:c r="M683" s="32"/>
    </x:row>
    <x:row r="684">
      <x:c r="A684" s="32"/>
      <x:c r="B684"/>
      <x:c r="C684"/>
      <x:c r="D684"/>
      <x:c r="E684" s="20"/>
      <x:c r="F684"/>
      <x:c r="G684"/>
      <x:c r="H684" s="34"/>
      <x:c r="I684" s="34" t="str">
        <x:f>IF(H684="","",IF(G684="역방향",8-H684,H684))</x:f>
      </x:c>
      <x:c r="J684" s="32"/>
      <x:c r="K684" s="32"/>
      <x:c r="L684" s="32"/>
      <x:c r="M684" s="32"/>
    </x:row>
    <x:row r="685">
      <x:c r="A685" s="32"/>
      <x:c r="B685"/>
      <x:c r="C685"/>
      <x:c r="D685"/>
      <x:c r="E685" s="20"/>
      <x:c r="F685"/>
      <x:c r="G685"/>
      <x:c r="H685" s="34"/>
      <x:c r="I685" s="34" t="str">
        <x:f>IF(H685="","",IF(G685="역방향",8-H685,H685))</x:f>
      </x:c>
      <x:c r="J685" s="32"/>
      <x:c r="K685" s="32"/>
      <x:c r="L685" s="32"/>
      <x:c r="M685" s="32"/>
    </x:row>
    <x:row r="686">
      <x:c r="A686" s="32"/>
      <x:c r="B686"/>
      <x:c r="C686"/>
      <x:c r="D686"/>
      <x:c r="E686" s="20"/>
      <x:c r="F686"/>
      <x:c r="G686"/>
      <x:c r="H686" s="34"/>
      <x:c r="I686" s="34" t="str">
        <x:f>IF(H686="","",IF(G686="역방향",8-H686,H686))</x:f>
      </x:c>
      <x:c r="J686" s="32"/>
      <x:c r="K686" s="32"/>
      <x:c r="L686" s="32"/>
      <x:c r="M686" s="32"/>
    </x:row>
    <x:row r="687">
      <x:c r="A687" s="32"/>
      <x:c r="B687"/>
      <x:c r="C687"/>
      <x:c r="D687"/>
      <x:c r="E687" s="20"/>
      <x:c r="F687"/>
      <x:c r="G687"/>
      <x:c r="H687" s="34"/>
      <x:c r="I687" s="34" t="str">
        <x:f>IF(H687="","",IF(G687="역방향",8-H687,H687))</x:f>
      </x:c>
      <x:c r="J687" s="32"/>
      <x:c r="K687" s="32"/>
      <x:c r="L687" s="32"/>
      <x:c r="M687" s="32"/>
    </x:row>
    <x:row r="688">
      <x:c r="A688" s="32"/>
      <x:c r="B688"/>
      <x:c r="C688"/>
      <x:c r="D688"/>
      <x:c r="E688" s="20"/>
      <x:c r="F688"/>
      <x:c r="G688"/>
      <x:c r="H688" s="34"/>
      <x:c r="I688" s="34" t="str">
        <x:f>IF(H688="","",IF(G688="역방향",8-H688,H688))</x:f>
      </x:c>
      <x:c r="J688" s="32"/>
      <x:c r="K688" s="32"/>
      <x:c r="L688" s="32"/>
      <x:c r="M688" s="32"/>
    </x:row>
    <x:row r="689">
      <x:c r="A689" s="32"/>
      <x:c r="B689"/>
      <x:c r="C689"/>
      <x:c r="D689"/>
      <x:c r="E689" s="20"/>
      <x:c r="F689"/>
      <x:c r="G689"/>
      <x:c r="H689" s="34"/>
      <x:c r="I689" s="34" t="str">
        <x:f>IF(H689="","",IF(G689="역방향",8-H689,H689))</x:f>
      </x:c>
      <x:c r="J689" s="32"/>
      <x:c r="K689" s="32"/>
      <x:c r="L689" s="32"/>
      <x:c r="M689" s="32"/>
    </x:row>
    <x:row r="690">
      <x:c r="A690" s="32"/>
      <x:c r="B690"/>
      <x:c r="C690"/>
      <x:c r="D690"/>
      <x:c r="E690" s="20"/>
      <x:c r="F690"/>
      <x:c r="G690"/>
      <x:c r="H690" s="34"/>
      <x:c r="I690" s="34" t="str">
        <x:f>IF(H690="","",IF(G690="역방향",8-H690,H690))</x:f>
      </x:c>
      <x:c r="J690" s="32"/>
      <x:c r="K690" s="32"/>
      <x:c r="L690" s="32"/>
      <x:c r="M690" s="32"/>
    </x:row>
    <x:row r="691">
      <x:c r="A691" s="32"/>
      <x:c r="B691"/>
      <x:c r="C691"/>
      <x:c r="D691"/>
      <x:c r="E691" s="20"/>
      <x:c r="F691"/>
      <x:c r="G691"/>
      <x:c r="H691" s="34"/>
      <x:c r="I691" s="34" t="str">
        <x:f>IF(H691="","",IF(G691="역방향",8-H691,H691))</x:f>
      </x:c>
      <x:c r="J691" s="32"/>
      <x:c r="K691" s="32"/>
      <x:c r="L691" s="32"/>
      <x:c r="M691" s="32"/>
    </x:row>
    <x:row r="692">
      <x:c r="A692" s="32"/>
      <x:c r="B692"/>
      <x:c r="C692"/>
      <x:c r="D692"/>
      <x:c r="E692" s="20"/>
      <x:c r="F692"/>
      <x:c r="G692"/>
      <x:c r="H692" s="34"/>
      <x:c r="I692" s="34" t="str">
        <x:f>IF(H692="","",IF(G692="역방향",8-H692,H692))</x:f>
      </x:c>
      <x:c r="J692" s="32"/>
      <x:c r="K692" s="32"/>
      <x:c r="L692" s="32"/>
      <x:c r="M692" s="32"/>
    </x:row>
    <x:row r="693">
      <x:c r="A693" s="32"/>
      <x:c r="B693"/>
      <x:c r="C693"/>
      <x:c r="D693"/>
      <x:c r="E693" s="20"/>
      <x:c r="F693"/>
      <x:c r="G693"/>
      <x:c r="H693" s="34"/>
      <x:c r="I693" s="34" t="str">
        <x:f>IF(H693="","",IF(G693="역방향",8-H693,H693))</x:f>
      </x:c>
      <x:c r="J693" s="32"/>
      <x:c r="K693" s="32"/>
      <x:c r="L693" s="32"/>
      <x:c r="M693" s="32"/>
    </x:row>
    <x:row r="694">
      <x:c r="A694" s="32"/>
      <x:c r="B694"/>
      <x:c r="C694"/>
      <x:c r="D694"/>
      <x:c r="E694" s="20"/>
      <x:c r="F694"/>
      <x:c r="G694"/>
      <x:c r="H694" s="34"/>
      <x:c r="I694" s="34" t="str">
        <x:f>IF(H694="","",IF(G694="역방향",8-H694,H694))</x:f>
      </x:c>
      <x:c r="J694" s="32"/>
      <x:c r="K694" s="32"/>
      <x:c r="L694" s="32"/>
      <x:c r="M694" s="32"/>
    </x:row>
    <x:row r="695">
      <x:c r="A695" s="32"/>
      <x:c r="B695"/>
      <x:c r="C695"/>
      <x:c r="D695"/>
      <x:c r="E695" s="20"/>
      <x:c r="F695"/>
      <x:c r="G695"/>
      <x:c r="H695" s="34"/>
      <x:c r="I695" s="34" t="str">
        <x:f>IF(H695="","",IF(G695="역방향",8-H695,H695))</x:f>
      </x:c>
      <x:c r="J695" s="32"/>
      <x:c r="K695" s="32"/>
      <x:c r="L695" s="32"/>
      <x:c r="M695" s="32"/>
    </x:row>
    <x:row r="696">
      <x:c r="A696" s="32"/>
      <x:c r="B696"/>
      <x:c r="C696"/>
      <x:c r="D696"/>
      <x:c r="E696" s="20"/>
      <x:c r="F696"/>
      <x:c r="G696"/>
      <x:c r="H696" s="34"/>
      <x:c r="I696" s="34" t="str">
        <x:f>IF(H696="","",IF(G696="역방향",8-H696,H696))</x:f>
      </x:c>
      <x:c r="J696" s="32"/>
      <x:c r="K696" s="32"/>
      <x:c r="L696" s="32"/>
      <x:c r="M696" s="32"/>
    </x:row>
    <x:row r="697">
      <x:c r="A697" s="32"/>
      <x:c r="B697"/>
      <x:c r="C697"/>
      <x:c r="D697"/>
      <x:c r="E697" s="20"/>
      <x:c r="F697"/>
      <x:c r="G697"/>
      <x:c r="H697" s="34"/>
      <x:c r="I697" s="34" t="str">
        <x:f>IF(H697="","",IF(G697="역방향",8-H697,H697))</x:f>
      </x:c>
      <x:c r="J697" s="32"/>
      <x:c r="K697" s="32"/>
      <x:c r="L697" s="32"/>
      <x:c r="M697" s="32"/>
    </x:row>
    <x:row r="698">
      <x:c r="A698" s="32"/>
      <x:c r="B698"/>
      <x:c r="C698"/>
      <x:c r="D698"/>
      <x:c r="E698" s="20"/>
      <x:c r="F698"/>
      <x:c r="G698"/>
      <x:c r="H698" s="34"/>
      <x:c r="I698" s="34" t="str">
        <x:f>IF(H698="","",IF(G698="역방향",8-H698,H698))</x:f>
      </x:c>
      <x:c r="J698" s="32"/>
      <x:c r="K698" s="32"/>
      <x:c r="L698" s="32"/>
      <x:c r="M698" s="32"/>
    </x:row>
    <x:row r="699">
      <x:c r="A699" s="32"/>
      <x:c r="B699"/>
      <x:c r="C699"/>
      <x:c r="D699"/>
      <x:c r="E699" s="20"/>
      <x:c r="F699"/>
      <x:c r="G699"/>
      <x:c r="H699" s="34"/>
      <x:c r="I699" s="34" t="str">
        <x:f>IF(H699="","",IF(G699="역방향",8-H699,H699))</x:f>
      </x:c>
      <x:c r="J699" s="32"/>
      <x:c r="K699" s="32"/>
      <x:c r="L699" s="32"/>
      <x:c r="M699" s="32"/>
    </x:row>
    <x:row r="700">
      <x:c r="A700" s="32"/>
      <x:c r="B700"/>
      <x:c r="C700"/>
      <x:c r="D700"/>
      <x:c r="E700" s="20"/>
      <x:c r="F700"/>
      <x:c r="G700"/>
      <x:c r="H700" s="34"/>
      <x:c r="I700" s="34" t="str">
        <x:f>IF(H700="","",IF(G700="역방향",8-H700,H700))</x:f>
      </x:c>
      <x:c r="J700" s="32"/>
      <x:c r="K700" s="32"/>
      <x:c r="L700" s="32"/>
      <x:c r="M700" s="32"/>
    </x:row>
    <x:row r="701">
      <x:c r="A701" s="32"/>
      <x:c r="B701"/>
      <x:c r="C701"/>
      <x:c r="D701"/>
      <x:c r="E701" s="20"/>
      <x:c r="F701"/>
      <x:c r="G701"/>
      <x:c r="H701" s="34"/>
      <x:c r="I701" s="34" t="str">
        <x:f>IF(H701="","",IF(G701="역방향",8-H701,H701))</x:f>
      </x:c>
      <x:c r="J701" s="32"/>
      <x:c r="K701" s="32"/>
      <x:c r="L701" s="32"/>
      <x:c r="M701" s="32"/>
    </x:row>
    <x:row r="702">
      <x:c r="A702" s="32"/>
      <x:c r="B702"/>
      <x:c r="C702"/>
      <x:c r="D702"/>
      <x:c r="E702" s="20"/>
      <x:c r="F702"/>
      <x:c r="G702"/>
      <x:c r="H702" s="34"/>
      <x:c r="I702" s="34" t="str">
        <x:f>IF(H702="","",IF(G702="역방향",8-H702,H702))</x:f>
      </x:c>
      <x:c r="J702" s="32"/>
      <x:c r="K702" s="32"/>
      <x:c r="L702" s="32"/>
      <x:c r="M702" s="32"/>
    </x:row>
    <x:row r="703">
      <x:c r="A703" s="32"/>
      <x:c r="B703"/>
      <x:c r="C703"/>
      <x:c r="D703"/>
      <x:c r="E703" s="20"/>
      <x:c r="F703"/>
      <x:c r="G703"/>
      <x:c r="H703" s="34"/>
      <x:c r="I703" s="34" t="str">
        <x:f>IF(H703="","",IF(G703="역방향",8-H703,H703))</x:f>
      </x:c>
      <x:c r="J703" s="32"/>
      <x:c r="K703" s="32"/>
      <x:c r="L703" s="32"/>
      <x:c r="M703" s="32"/>
    </x:row>
    <x:row r="704">
      <x:c r="A704" s="32"/>
      <x:c r="B704"/>
      <x:c r="C704"/>
      <x:c r="D704"/>
      <x:c r="E704" s="20"/>
      <x:c r="F704"/>
      <x:c r="G704"/>
      <x:c r="H704" s="34"/>
      <x:c r="I704" s="34" t="str">
        <x:f>IF(H704="","",IF(G704="역방향",8-H704,H704))</x:f>
      </x:c>
      <x:c r="J704" s="32"/>
      <x:c r="K704" s="32"/>
      <x:c r="L704" s="32"/>
      <x:c r="M704" s="32"/>
    </x:row>
    <x:row r="705">
      <x:c r="A705" s="32"/>
      <x:c r="B705"/>
      <x:c r="C705"/>
      <x:c r="D705"/>
      <x:c r="E705" s="20"/>
      <x:c r="F705"/>
      <x:c r="G705"/>
      <x:c r="H705" s="34"/>
      <x:c r="I705" s="34" t="str">
        <x:f>IF(H705="","",IF(G705="역방향",8-H705,H705))</x:f>
      </x:c>
      <x:c r="J705" s="32"/>
      <x:c r="K705" s="32"/>
      <x:c r="L705" s="32"/>
      <x:c r="M705" s="32"/>
    </x:row>
    <x:row r="706">
      <x:c r="A706" s="32"/>
      <x:c r="B706"/>
      <x:c r="C706"/>
      <x:c r="D706"/>
      <x:c r="E706" s="20"/>
      <x:c r="F706"/>
      <x:c r="G706"/>
      <x:c r="H706" s="34"/>
      <x:c r="I706" s="34" t="str">
        <x:f>IF(H706="","",IF(G706="역방향",8-H706,H706))</x:f>
      </x:c>
      <x:c r="J706" s="32"/>
      <x:c r="K706" s="32"/>
      <x:c r="L706" s="32"/>
      <x:c r="M706" s="32"/>
    </x:row>
    <x:row r="707">
      <x:c r="A707" s="32"/>
      <x:c r="B707"/>
      <x:c r="C707"/>
      <x:c r="D707"/>
      <x:c r="E707" s="20"/>
      <x:c r="F707"/>
      <x:c r="G707"/>
      <x:c r="H707" s="34"/>
      <x:c r="I707" s="34" t="str">
        <x:f>IF(H707="","",IF(G707="역방향",8-H707,H707))</x:f>
      </x:c>
      <x:c r="J707" s="32"/>
      <x:c r="K707" s="32"/>
      <x:c r="L707" s="32"/>
      <x:c r="M707" s="32"/>
    </x:row>
    <x:row r="708">
      <x:c r="A708" s="32"/>
      <x:c r="B708"/>
      <x:c r="C708"/>
      <x:c r="D708"/>
      <x:c r="E708" s="20"/>
      <x:c r="F708"/>
      <x:c r="G708"/>
      <x:c r="H708" s="34"/>
      <x:c r="I708" s="34" t="str">
        <x:f>IF(H708="","",IF(G708="역방향",8-H708,H708))</x:f>
      </x:c>
      <x:c r="J708" s="32"/>
      <x:c r="K708" s="32"/>
      <x:c r="L708" s="32"/>
      <x:c r="M708" s="32"/>
    </x:row>
    <x:row r="709">
      <x:c r="A709" s="32"/>
      <x:c r="B709"/>
      <x:c r="C709"/>
      <x:c r="D709"/>
      <x:c r="E709" s="20"/>
      <x:c r="F709"/>
      <x:c r="G709"/>
      <x:c r="H709" s="34"/>
      <x:c r="I709" s="34" t="str">
        <x:f>IF(H709="","",IF(G709="역방향",8-H709,H709))</x:f>
      </x:c>
      <x:c r="J709" s="32"/>
      <x:c r="K709" s="32"/>
      <x:c r="L709" s="32"/>
      <x:c r="M709" s="32"/>
    </x:row>
    <x:row r="710">
      <x:c r="A710" s="32"/>
      <x:c r="B710"/>
      <x:c r="C710"/>
      <x:c r="D710"/>
      <x:c r="E710" s="20"/>
      <x:c r="F710"/>
      <x:c r="G710"/>
      <x:c r="H710" s="34"/>
      <x:c r="I710" s="34" t="str">
        <x:f>IF(H710="","",IF(G710="역방향",8-H710,H710))</x:f>
      </x:c>
      <x:c r="J710" s="32"/>
      <x:c r="K710" s="32"/>
      <x:c r="L710" s="32"/>
      <x:c r="M710" s="32"/>
    </x:row>
    <x:row r="711">
      <x:c r="A711" s="32"/>
      <x:c r="B711"/>
      <x:c r="C711"/>
      <x:c r="D711"/>
      <x:c r="E711" s="20"/>
      <x:c r="F711"/>
      <x:c r="G711"/>
      <x:c r="H711" s="34"/>
      <x:c r="I711" s="34" t="str">
        <x:f>IF(H711="","",IF(G711="역방향",8-H711,H711))</x:f>
      </x:c>
      <x:c r="J711" s="32"/>
      <x:c r="K711" s="32"/>
      <x:c r="L711" s="32"/>
      <x:c r="M711" s="32"/>
    </x:row>
    <x:row r="712">
      <x:c r="A712" s="32"/>
      <x:c r="B712"/>
      <x:c r="C712"/>
      <x:c r="D712"/>
      <x:c r="E712" s="20"/>
      <x:c r="F712"/>
      <x:c r="G712"/>
      <x:c r="H712" s="34"/>
      <x:c r="I712" s="34" t="str">
        <x:f>IF(H712="","",IF(G712="역방향",8-H712,H712))</x:f>
      </x:c>
      <x:c r="J712" s="32"/>
      <x:c r="K712" s="32"/>
      <x:c r="L712" s="32"/>
      <x:c r="M712" s="32"/>
    </x:row>
    <x:row r="713">
      <x:c r="A713" s="32"/>
      <x:c r="B713"/>
      <x:c r="C713"/>
      <x:c r="D713"/>
      <x:c r="E713" s="20"/>
      <x:c r="F713"/>
      <x:c r="G713"/>
      <x:c r="H713" s="34"/>
      <x:c r="I713" s="34" t="str">
        <x:f>IF(H713="","",IF(G713="역방향",8-H713,H713))</x:f>
      </x:c>
      <x:c r="J713" s="32"/>
      <x:c r="K713" s="32"/>
      <x:c r="L713" s="32"/>
      <x:c r="M713" s="32"/>
    </x:row>
    <x:row r="714">
      <x:c r="A714" s="32"/>
      <x:c r="B714"/>
      <x:c r="C714"/>
      <x:c r="D714"/>
      <x:c r="E714" s="20"/>
      <x:c r="F714"/>
      <x:c r="G714"/>
      <x:c r="H714" s="34"/>
      <x:c r="I714" s="34" t="str">
        <x:f>IF(H714="","",IF(G714="역방향",8-H714,H714))</x:f>
      </x:c>
      <x:c r="J714" s="32"/>
      <x:c r="K714" s="32"/>
      <x:c r="L714" s="32"/>
      <x:c r="M714" s="32"/>
    </x:row>
    <x:row r="715">
      <x:c r="A715" s="32"/>
      <x:c r="B715"/>
      <x:c r="C715"/>
      <x:c r="D715"/>
      <x:c r="E715" s="20"/>
      <x:c r="F715"/>
      <x:c r="G715"/>
      <x:c r="H715" s="34"/>
      <x:c r="I715" s="34" t="str">
        <x:f>IF(H715="","",IF(G715="역방향",8-H715,H715))</x:f>
      </x:c>
      <x:c r="J715" s="32"/>
      <x:c r="K715" s="32"/>
      <x:c r="L715" s="32"/>
      <x:c r="M715" s="32"/>
    </x:row>
    <x:row r="716">
      <x:c r="A716" s="32"/>
      <x:c r="B716"/>
      <x:c r="C716"/>
      <x:c r="D716"/>
      <x:c r="E716" s="20"/>
      <x:c r="F716"/>
      <x:c r="G716"/>
      <x:c r="H716" s="34"/>
      <x:c r="I716" s="34" t="str">
        <x:f>IF(H716="","",IF(G716="역방향",8-H716,H716))</x:f>
      </x:c>
      <x:c r="J716" s="32"/>
      <x:c r="K716" s="32"/>
      <x:c r="L716" s="32"/>
      <x:c r="M716" s="32"/>
    </x:row>
    <x:row r="717">
      <x:c r="A717" s="32"/>
      <x:c r="B717"/>
      <x:c r="C717"/>
      <x:c r="D717"/>
      <x:c r="E717" s="20"/>
      <x:c r="F717"/>
      <x:c r="G717"/>
      <x:c r="H717" s="34"/>
      <x:c r="I717" s="34" t="str">
        <x:f>IF(H717="","",IF(G717="역방향",8-H717,H717))</x:f>
      </x:c>
      <x:c r="J717" s="32"/>
      <x:c r="K717" s="32"/>
      <x:c r="L717" s="32"/>
      <x:c r="M717" s="32"/>
    </x:row>
    <x:row r="718">
      <x:c r="A718" s="32"/>
      <x:c r="B718"/>
      <x:c r="C718"/>
      <x:c r="D718"/>
      <x:c r="E718" s="20"/>
      <x:c r="F718"/>
      <x:c r="G718"/>
      <x:c r="H718" s="34"/>
      <x:c r="I718" s="34" t="str">
        <x:f>IF(H718="","",IF(G718="역방향",8-H718,H718))</x:f>
      </x:c>
      <x:c r="J718" s="32"/>
      <x:c r="K718" s="32"/>
      <x:c r="L718" s="32"/>
      <x:c r="M718" s="32"/>
    </x:row>
    <x:row r="719">
      <x:c r="A719" s="32"/>
      <x:c r="B719"/>
      <x:c r="C719"/>
      <x:c r="D719"/>
      <x:c r="E719" s="20"/>
      <x:c r="F719"/>
      <x:c r="G719"/>
      <x:c r="H719" s="34"/>
      <x:c r="I719" s="34" t="str">
        <x:f>IF(H719="","",IF(G719="역방향",8-H719,H719))</x:f>
      </x:c>
      <x:c r="J719" s="32"/>
      <x:c r="K719" s="32"/>
      <x:c r="L719" s="32"/>
      <x:c r="M719" s="32"/>
    </x:row>
    <x:row r="720">
      <x:c r="A720" s="32"/>
      <x:c r="B720"/>
      <x:c r="C720"/>
      <x:c r="D720"/>
      <x:c r="E720" s="20"/>
      <x:c r="F720"/>
      <x:c r="G720"/>
      <x:c r="H720" s="34"/>
      <x:c r="I720" s="34" t="str">
        <x:f>IF(H720="","",IF(G720="역방향",8-H720,H720))</x:f>
      </x:c>
      <x:c r="J720" s="32"/>
      <x:c r="K720" s="32"/>
      <x:c r="L720" s="32"/>
      <x:c r="M720" s="32"/>
    </x:row>
    <x:row r="721">
      <x:c r="A721" s="32"/>
      <x:c r="B721"/>
      <x:c r="C721"/>
      <x:c r="D721"/>
      <x:c r="E721" s="20"/>
      <x:c r="F721"/>
      <x:c r="G721"/>
      <x:c r="H721" s="34"/>
      <x:c r="I721" s="34" t="str">
        <x:f>IF(H721="","",IF(G721="역방향",8-H721,H721))</x:f>
      </x:c>
      <x:c r="J721" s="32"/>
      <x:c r="K721" s="32"/>
      <x:c r="L721" s="32"/>
      <x:c r="M721" s="32"/>
    </x:row>
    <x:row r="722">
      <x:c r="A722" s="32"/>
      <x:c r="B722"/>
      <x:c r="C722"/>
      <x:c r="D722"/>
      <x:c r="E722" s="20"/>
      <x:c r="F722"/>
      <x:c r="G722"/>
      <x:c r="H722" s="34"/>
      <x:c r="I722" s="34" t="str">
        <x:f>IF(H722="","",IF(G722="역방향",8-H722,H722))</x:f>
      </x:c>
      <x:c r="J722" s="32"/>
      <x:c r="K722" s="32"/>
      <x:c r="L722" s="32"/>
      <x:c r="M722" s="32"/>
    </x:row>
    <x:row r="723">
      <x:c r="A723" s="32"/>
      <x:c r="B723"/>
      <x:c r="C723"/>
      <x:c r="D723"/>
      <x:c r="E723" s="20"/>
      <x:c r="F723"/>
      <x:c r="G723"/>
      <x:c r="H723" s="34"/>
      <x:c r="I723" s="34" t="str">
        <x:f>IF(H723="","",IF(G723="역방향",8-H723,H723))</x:f>
      </x:c>
      <x:c r="J723" s="32"/>
      <x:c r="K723" s="32"/>
      <x:c r="L723" s="32"/>
      <x:c r="M723" s="32"/>
    </x:row>
    <x:row r="724">
      <x:c r="A724" s="32"/>
      <x:c r="B724"/>
      <x:c r="C724"/>
      <x:c r="D724"/>
      <x:c r="E724" s="20"/>
      <x:c r="F724"/>
      <x:c r="G724"/>
      <x:c r="H724" s="34"/>
      <x:c r="I724" s="34" t="str">
        <x:f>IF(H724="","",IF(G724="역방향",8-H724,H724))</x:f>
      </x:c>
      <x:c r="J724" s="32"/>
      <x:c r="K724" s="32"/>
      <x:c r="L724" s="32"/>
      <x:c r="M724" s="32"/>
    </x:row>
    <x:row r="725">
      <x:c r="A725" s="32"/>
      <x:c r="B725"/>
      <x:c r="C725"/>
      <x:c r="D725"/>
      <x:c r="E725" s="20"/>
      <x:c r="F725"/>
      <x:c r="G725"/>
      <x:c r="H725" s="34"/>
      <x:c r="I725" s="34" t="str">
        <x:f>IF(H725="","",IF(G725="역방향",8-H725,H725))</x:f>
      </x:c>
      <x:c r="J725" s="32"/>
      <x:c r="K725" s="32"/>
      <x:c r="L725" s="32"/>
      <x:c r="M725" s="32"/>
    </x:row>
    <x:row r="726">
      <x:c r="A726" s="32"/>
      <x:c r="B726"/>
      <x:c r="C726"/>
      <x:c r="D726"/>
      <x:c r="E726" s="20"/>
      <x:c r="F726"/>
      <x:c r="G726"/>
      <x:c r="H726" s="34"/>
      <x:c r="I726" s="34" t="str">
        <x:f>IF(H726="","",IF(G726="역방향",8-H726,H726))</x:f>
      </x:c>
      <x:c r="J726" s="32"/>
      <x:c r="K726" s="32"/>
      <x:c r="L726" s="32"/>
      <x:c r="M726" s="32"/>
    </x:row>
    <x:row r="727">
      <x:c r="A727" s="32"/>
      <x:c r="B727"/>
      <x:c r="C727"/>
      <x:c r="D727"/>
      <x:c r="E727" s="20"/>
      <x:c r="F727"/>
      <x:c r="G727"/>
      <x:c r="H727" s="34"/>
      <x:c r="I727" s="34" t="str">
        <x:f>IF(H727="","",IF(G727="역방향",8-H727,H727))</x:f>
      </x:c>
      <x:c r="J727" s="32"/>
      <x:c r="K727" s="32"/>
      <x:c r="L727" s="32"/>
      <x:c r="M727" s="32"/>
    </x:row>
    <x:row r="728">
      <x:c r="A728" s="32"/>
      <x:c r="B728"/>
      <x:c r="C728"/>
      <x:c r="D728"/>
      <x:c r="E728" s="20"/>
      <x:c r="F728"/>
      <x:c r="G728"/>
      <x:c r="H728" s="34"/>
      <x:c r="I728" s="34" t="str">
        <x:f>IF(H728="","",IF(G728="역방향",8-H728,H728))</x:f>
      </x:c>
      <x:c r="J728" s="32"/>
      <x:c r="K728" s="32"/>
      <x:c r="L728" s="32"/>
      <x:c r="M728" s="32"/>
    </x:row>
    <x:row r="729">
      <x:c r="A729" s="32"/>
      <x:c r="B729"/>
      <x:c r="C729"/>
      <x:c r="D729"/>
      <x:c r="E729" s="20"/>
      <x:c r="F729"/>
      <x:c r="G729"/>
      <x:c r="H729" s="34"/>
      <x:c r="I729" s="34" t="str">
        <x:f>IF(H729="","",IF(G729="역방향",8-H729,H729))</x:f>
      </x:c>
      <x:c r="J729" s="32"/>
      <x:c r="K729" s="32"/>
      <x:c r="L729" s="32"/>
      <x:c r="M729" s="32"/>
    </x:row>
    <x:row r="730">
      <x:c r="A730" s="32"/>
      <x:c r="B730"/>
      <x:c r="C730"/>
      <x:c r="D730"/>
      <x:c r="E730" s="20"/>
      <x:c r="F730"/>
      <x:c r="G730"/>
      <x:c r="H730" s="34"/>
      <x:c r="I730" s="34" t="str">
        <x:f>IF(H730="","",IF(G730="역방향",8-H730,H730))</x:f>
      </x:c>
      <x:c r="J730" s="32"/>
      <x:c r="K730" s="32"/>
      <x:c r="L730" s="32"/>
      <x:c r="M730" s="32"/>
    </x:row>
    <x:row r="731">
      <x:c r="A731" s="32"/>
      <x:c r="B731"/>
      <x:c r="C731"/>
      <x:c r="D731"/>
      <x:c r="E731" s="20"/>
      <x:c r="F731"/>
      <x:c r="G731"/>
      <x:c r="H731" s="34"/>
      <x:c r="I731" s="34" t="str">
        <x:f>IF(H731="","",IF(G731="역방향",8-H731,H731))</x:f>
      </x:c>
      <x:c r="J731" s="32"/>
      <x:c r="K731" s="32"/>
      <x:c r="L731" s="32"/>
      <x:c r="M731" s="32"/>
    </x:row>
    <x:row r="732">
      <x:c r="A732" s="32"/>
      <x:c r="B732"/>
      <x:c r="C732"/>
      <x:c r="D732"/>
      <x:c r="E732" s="20"/>
      <x:c r="F732"/>
      <x:c r="G732"/>
      <x:c r="H732" s="34"/>
      <x:c r="I732" s="34" t="str">
        <x:f>IF(H732="","",IF(G732="역방향",8-H732,H732))</x:f>
      </x:c>
      <x:c r="J732" s="32"/>
      <x:c r="K732" s="32"/>
      <x:c r="L732" s="32"/>
      <x:c r="M732" s="32"/>
    </x:row>
    <x:row r="733">
      <x:c r="A733" s="32"/>
      <x:c r="B733"/>
      <x:c r="C733"/>
      <x:c r="D733"/>
      <x:c r="E733" s="20"/>
      <x:c r="F733"/>
      <x:c r="G733"/>
      <x:c r="H733" s="34"/>
      <x:c r="I733" s="34" t="str">
        <x:f>IF(H733="","",IF(G733="역방향",8-H733,H733))</x:f>
      </x:c>
      <x:c r="J733" s="32"/>
      <x:c r="K733" s="32"/>
      <x:c r="L733" s="32"/>
      <x:c r="M733" s="32"/>
    </x:row>
    <x:row r="734">
      <x:c r="A734" s="32"/>
      <x:c r="B734"/>
      <x:c r="C734"/>
      <x:c r="D734"/>
      <x:c r="E734" s="20"/>
      <x:c r="F734"/>
      <x:c r="G734"/>
      <x:c r="H734" s="34"/>
      <x:c r="I734" s="34" t="str">
        <x:f>IF(H734="","",IF(G734="역방향",8-H734,H734))</x:f>
      </x:c>
      <x:c r="J734" s="32"/>
      <x:c r="K734" s="32"/>
      <x:c r="L734" s="32"/>
      <x:c r="M734" s="32"/>
    </x:row>
    <x:row r="735">
      <x:c r="A735" s="32"/>
      <x:c r="B735"/>
      <x:c r="C735"/>
      <x:c r="D735"/>
      <x:c r="E735" s="20"/>
      <x:c r="F735"/>
      <x:c r="G735"/>
      <x:c r="H735" s="34"/>
      <x:c r="I735" s="34" t="str">
        <x:f>IF(H735="","",IF(G735="역방향",8-H735,H735))</x:f>
      </x:c>
      <x:c r="J735" s="32"/>
      <x:c r="K735" s="32"/>
      <x:c r="L735" s="32"/>
      <x:c r="M735" s="32"/>
    </x:row>
    <x:row r="736">
      <x:c r="A736" s="32"/>
      <x:c r="B736"/>
      <x:c r="C736"/>
      <x:c r="D736"/>
      <x:c r="E736" s="20"/>
      <x:c r="F736"/>
      <x:c r="G736"/>
      <x:c r="H736" s="34"/>
      <x:c r="I736" s="34" t="str">
        <x:f>IF(H736="","",IF(G736="역방향",8-H736,H736))</x:f>
      </x:c>
      <x:c r="J736" s="32"/>
      <x:c r="K736" s="32"/>
      <x:c r="L736" s="32"/>
      <x:c r="M736" s="32"/>
    </x:row>
    <x:row r="737">
      <x:c r="A737" s="32"/>
      <x:c r="B737"/>
      <x:c r="C737"/>
      <x:c r="D737"/>
      <x:c r="E737" s="20"/>
      <x:c r="F737"/>
      <x:c r="G737"/>
      <x:c r="H737" s="34"/>
      <x:c r="I737" s="34" t="str">
        <x:f>IF(H737="","",IF(G737="역방향",8-H737,H737))</x:f>
      </x:c>
      <x:c r="J737" s="32"/>
      <x:c r="K737" s="32"/>
      <x:c r="L737" s="32"/>
      <x:c r="M737" s="32"/>
    </x:row>
    <x:row r="738">
      <x:c r="A738" s="32"/>
      <x:c r="B738"/>
      <x:c r="C738"/>
      <x:c r="D738"/>
      <x:c r="E738" s="20"/>
      <x:c r="F738"/>
      <x:c r="G738"/>
      <x:c r="H738" s="34"/>
      <x:c r="I738" s="34" t="str">
        <x:f>IF(H738="","",IF(G738="역방향",8-H738,H738))</x:f>
      </x:c>
      <x:c r="J738" s="32"/>
      <x:c r="K738" s="32"/>
      <x:c r="L738" s="32"/>
      <x:c r="M738" s="32"/>
    </x:row>
    <x:row r="739">
      <x:c r="A739" s="32"/>
      <x:c r="B739"/>
      <x:c r="C739"/>
      <x:c r="D739"/>
      <x:c r="E739" s="20"/>
      <x:c r="F739"/>
      <x:c r="G739"/>
      <x:c r="H739" s="34"/>
      <x:c r="I739" s="34" t="str">
        <x:f>IF(H739="","",IF(G739="역방향",8-H739,H739))</x:f>
      </x:c>
      <x:c r="J739" s="32"/>
      <x:c r="K739" s="32"/>
      <x:c r="L739" s="32"/>
      <x:c r="M739" s="32"/>
    </x:row>
    <x:row r="740">
      <x:c r="A740" s="32"/>
      <x:c r="B740"/>
      <x:c r="C740"/>
      <x:c r="D740"/>
      <x:c r="E740" s="20"/>
      <x:c r="F740"/>
      <x:c r="G740"/>
      <x:c r="H740" s="34"/>
      <x:c r="I740" s="34" t="str">
        <x:f>IF(H740="","",IF(G740="역방향",8-H740,H740))</x:f>
      </x:c>
      <x:c r="J740" s="32"/>
      <x:c r="K740" s="32"/>
      <x:c r="L740" s="32"/>
      <x:c r="M740" s="32"/>
    </x:row>
    <x:row r="741">
      <x:c r="A741" s="32"/>
      <x:c r="B741"/>
      <x:c r="C741"/>
      <x:c r="D741"/>
      <x:c r="E741" s="20"/>
      <x:c r="F741"/>
      <x:c r="G741"/>
      <x:c r="H741" s="34"/>
      <x:c r="I741" s="34" t="str">
        <x:f>IF(H741="","",IF(G741="역방향",8-H741,H741))</x:f>
      </x:c>
      <x:c r="J741" s="32"/>
      <x:c r="K741" s="32"/>
      <x:c r="L741" s="32"/>
      <x:c r="M741" s="32"/>
    </x:row>
    <x:row r="742">
      <x:c r="A742" s="32"/>
      <x:c r="B742"/>
      <x:c r="C742"/>
      <x:c r="D742"/>
      <x:c r="E742" s="20"/>
      <x:c r="F742"/>
      <x:c r="G742"/>
      <x:c r="H742" s="34"/>
      <x:c r="I742" s="34" t="str">
        <x:f>IF(H742="","",IF(G742="역방향",8-H742,H742))</x:f>
      </x:c>
      <x:c r="J742" s="32"/>
      <x:c r="K742" s="32"/>
      <x:c r="L742" s="32"/>
      <x:c r="M742" s="32"/>
    </x:row>
    <x:row r="743">
      <x:c r="A743" s="32"/>
      <x:c r="B743"/>
      <x:c r="C743"/>
      <x:c r="D743"/>
      <x:c r="E743" s="20"/>
      <x:c r="F743"/>
      <x:c r="G743"/>
      <x:c r="H743" s="34"/>
      <x:c r="I743" s="34" t="str">
        <x:f>IF(H743="","",IF(G743="역방향",8-H743,H743))</x:f>
      </x:c>
      <x:c r="J743" s="32"/>
      <x:c r="K743" s="32"/>
      <x:c r="L743" s="32"/>
      <x:c r="M743" s="32"/>
    </x:row>
    <x:row r="744">
      <x:c r="A744" s="32"/>
      <x:c r="B744"/>
      <x:c r="C744"/>
      <x:c r="D744"/>
      <x:c r="E744" s="20"/>
      <x:c r="F744"/>
      <x:c r="G744"/>
      <x:c r="H744" s="34"/>
      <x:c r="I744" s="34" t="str">
        <x:f>IF(H744="","",IF(G744="역방향",8-H744,H744))</x:f>
      </x:c>
      <x:c r="J744" s="32"/>
      <x:c r="K744" s="32"/>
      <x:c r="L744" s="32"/>
      <x:c r="M744" s="32"/>
    </x:row>
    <x:row r="745">
      <x:c r="A745" s="32"/>
      <x:c r="B745"/>
      <x:c r="C745"/>
      <x:c r="D745"/>
      <x:c r="E745" s="20"/>
      <x:c r="F745"/>
      <x:c r="G745"/>
      <x:c r="H745" s="34"/>
      <x:c r="I745" s="34" t="str">
        <x:f>IF(H745="","",IF(G745="역방향",8-H745,H745))</x:f>
      </x:c>
      <x:c r="J745" s="32"/>
      <x:c r="K745" s="32"/>
      <x:c r="L745" s="32"/>
      <x:c r="M745" s="32"/>
    </x:row>
    <x:row r="746">
      <x:c r="A746" s="32"/>
      <x:c r="B746"/>
      <x:c r="C746"/>
      <x:c r="D746"/>
      <x:c r="E746" s="20"/>
      <x:c r="F746"/>
      <x:c r="G746"/>
      <x:c r="H746" s="34"/>
      <x:c r="I746" s="34" t="str">
        <x:f>IF(H746="","",IF(G746="역방향",8-H746,H746))</x:f>
      </x:c>
      <x:c r="J746" s="32"/>
      <x:c r="K746" s="32"/>
      <x:c r="L746" s="32"/>
      <x:c r="M746" s="32"/>
    </x:row>
    <x:row r="747">
      <x:c r="A747" s="32"/>
      <x:c r="B747"/>
      <x:c r="C747"/>
      <x:c r="D747"/>
      <x:c r="E747" s="20"/>
      <x:c r="F747"/>
      <x:c r="G747"/>
      <x:c r="H747" s="34"/>
      <x:c r="I747" s="34" t="str">
        <x:f>IF(H747="","",IF(G747="역방향",8-H747,H747))</x:f>
      </x:c>
      <x:c r="J747" s="32"/>
      <x:c r="K747" s="32"/>
      <x:c r="L747" s="32"/>
      <x:c r="M747" s="32"/>
    </x:row>
    <x:row r="748">
      <x:c r="A748" s="32"/>
      <x:c r="B748"/>
      <x:c r="C748"/>
      <x:c r="D748"/>
      <x:c r="E748" s="20"/>
      <x:c r="F748"/>
      <x:c r="G748"/>
      <x:c r="H748" s="34"/>
      <x:c r="I748" s="34" t="str">
        <x:f>IF(H748="","",IF(G748="역방향",8-H748,H748))</x:f>
      </x:c>
      <x:c r="J748" s="32"/>
      <x:c r="K748" s="32"/>
      <x:c r="L748" s="32"/>
      <x:c r="M748" s="32"/>
    </x:row>
    <x:row r="749">
      <x:c r="A749" s="32"/>
      <x:c r="B749"/>
      <x:c r="C749"/>
      <x:c r="D749"/>
      <x:c r="E749" s="20"/>
      <x:c r="F749"/>
      <x:c r="G749"/>
      <x:c r="H749" s="34"/>
      <x:c r="I749" s="34" t="str">
        <x:f>IF(H749="","",IF(G749="역방향",8-H749,H749))</x:f>
      </x:c>
      <x:c r="J749" s="32"/>
      <x:c r="K749" s="32"/>
      <x:c r="L749" s="32"/>
      <x:c r="M749" s="32"/>
    </x:row>
    <x:row r="750">
      <x:c r="A750" s="32"/>
      <x:c r="B750"/>
      <x:c r="C750"/>
      <x:c r="D750"/>
      <x:c r="E750" s="20"/>
      <x:c r="F750"/>
      <x:c r="G750"/>
      <x:c r="H750" s="34"/>
      <x:c r="I750" s="34" t="str">
        <x:f>IF(H750="","",IF(G750="역방향",8-H750,H750))</x:f>
      </x:c>
      <x:c r="J750" s="32"/>
      <x:c r="K750" s="32"/>
      <x:c r="L750" s="32"/>
      <x:c r="M750" s="32"/>
    </x:row>
    <x:row r="751">
      <x:c r="A751" s="32"/>
      <x:c r="B751"/>
      <x:c r="C751"/>
      <x:c r="D751"/>
      <x:c r="E751" s="20"/>
      <x:c r="F751"/>
      <x:c r="G751"/>
      <x:c r="H751" s="34"/>
      <x:c r="I751" s="34" t="str">
        <x:f>IF(H751="","",IF(G751="역방향",8-H751,H751))</x:f>
      </x:c>
      <x:c r="J751" s="32"/>
      <x:c r="K751" s="32"/>
      <x:c r="L751" s="32"/>
      <x:c r="M751" s="32"/>
    </x:row>
    <x:row r="752">
      <x:c r="A752" s="32"/>
      <x:c r="B752"/>
      <x:c r="C752"/>
      <x:c r="D752"/>
      <x:c r="E752" s="20"/>
      <x:c r="F752"/>
      <x:c r="G752"/>
      <x:c r="H752" s="34"/>
      <x:c r="I752" s="34" t="str">
        <x:f>IF(H752="","",IF(G752="역방향",8-H752,H752))</x:f>
      </x:c>
      <x:c r="J752" s="32"/>
      <x:c r="K752" s="32"/>
      <x:c r="L752" s="32"/>
      <x:c r="M752" s="32"/>
    </x:row>
    <x:row r="753">
      <x:c r="A753" s="32"/>
      <x:c r="B753"/>
      <x:c r="C753"/>
      <x:c r="D753"/>
      <x:c r="E753" s="20"/>
      <x:c r="F753"/>
      <x:c r="G753"/>
      <x:c r="H753" s="34"/>
      <x:c r="I753" s="34" t="str">
        <x:f>IF(H753="","",IF(G753="역방향",8-H753,H753))</x:f>
      </x:c>
      <x:c r="J753" s="32"/>
      <x:c r="K753" s="32"/>
      <x:c r="L753" s="32"/>
      <x:c r="M753" s="32"/>
    </x:row>
    <x:row r="754">
      <x:c r="A754" s="32"/>
      <x:c r="B754"/>
      <x:c r="C754"/>
      <x:c r="D754"/>
      <x:c r="E754" s="20"/>
      <x:c r="F754"/>
      <x:c r="G754"/>
      <x:c r="H754" s="34"/>
      <x:c r="I754" s="34" t="str">
        <x:f>IF(H754="","",IF(G754="역방향",8-H754,H754))</x:f>
      </x:c>
      <x:c r="J754" s="32"/>
      <x:c r="K754" s="32"/>
      <x:c r="L754" s="32"/>
      <x:c r="M754" s="32"/>
    </x:row>
    <x:row r="755">
      <x:c r="A755" s="32"/>
      <x:c r="B755"/>
      <x:c r="C755"/>
      <x:c r="D755"/>
      <x:c r="E755" s="20"/>
      <x:c r="F755"/>
      <x:c r="G755"/>
      <x:c r="H755" s="34"/>
      <x:c r="I755" s="34" t="str">
        <x:f>IF(H755="","",IF(G755="역방향",8-H755,H755))</x:f>
      </x:c>
      <x:c r="J755" s="32"/>
      <x:c r="K755" s="32"/>
      <x:c r="L755" s="32"/>
      <x:c r="M755" s="32"/>
    </x:row>
    <x:row r="756">
      <x:c r="A756" s="32"/>
      <x:c r="B756"/>
      <x:c r="C756"/>
      <x:c r="D756"/>
      <x:c r="E756" s="20"/>
      <x:c r="F756"/>
      <x:c r="G756"/>
      <x:c r="H756" s="34"/>
      <x:c r="I756" s="34" t="str">
        <x:f>IF(H756="","",IF(G756="역방향",8-H756,H756))</x:f>
      </x:c>
      <x:c r="J756" s="32"/>
      <x:c r="K756" s="32"/>
      <x:c r="L756" s="32"/>
      <x:c r="M756" s="32"/>
    </x:row>
    <x:row r="757">
      <x:c r="A757" s="32"/>
      <x:c r="B757"/>
      <x:c r="C757"/>
      <x:c r="D757"/>
      <x:c r="E757" s="20"/>
      <x:c r="F757"/>
      <x:c r="G757"/>
      <x:c r="H757" s="34"/>
      <x:c r="I757" s="34" t="str">
        <x:f>IF(H757="","",IF(G757="역방향",8-H757,H757))</x:f>
      </x:c>
      <x:c r="J757" s="32"/>
      <x:c r="K757" s="32"/>
      <x:c r="L757" s="32"/>
      <x:c r="M757" s="32"/>
    </x:row>
    <x:row r="758">
      <x:c r="A758" s="32"/>
      <x:c r="B758"/>
      <x:c r="C758"/>
      <x:c r="D758"/>
      <x:c r="E758" s="20"/>
      <x:c r="F758"/>
      <x:c r="G758"/>
      <x:c r="H758" s="34"/>
      <x:c r="I758" s="34" t="str">
        <x:f>IF(H758="","",IF(G758="역방향",8-H758,H758))</x:f>
      </x:c>
      <x:c r="J758" s="32"/>
      <x:c r="K758" s="32"/>
      <x:c r="L758" s="32"/>
      <x:c r="M758" s="32"/>
    </x:row>
    <x:row r="759">
      <x:c r="A759" s="32"/>
      <x:c r="B759"/>
      <x:c r="C759"/>
      <x:c r="D759"/>
      <x:c r="E759" s="20"/>
      <x:c r="F759"/>
      <x:c r="G759"/>
      <x:c r="H759" s="34"/>
      <x:c r="I759" s="34" t="str">
        <x:f>IF(H759="","",IF(G759="역방향",8-H759,H759))</x:f>
      </x:c>
      <x:c r="J759" s="32"/>
      <x:c r="K759" s="32"/>
      <x:c r="L759" s="32"/>
      <x:c r="M759" s="32"/>
    </x:row>
    <x:row r="760">
      <x:c r="A760" s="32"/>
      <x:c r="B760"/>
      <x:c r="C760"/>
      <x:c r="D760"/>
      <x:c r="E760" s="20"/>
      <x:c r="F760"/>
      <x:c r="G760"/>
      <x:c r="H760" s="34"/>
      <x:c r="I760" s="34" t="str">
        <x:f>IF(H760="","",IF(G760="역방향",8-H760,H760))</x:f>
      </x:c>
      <x:c r="J760" s="32"/>
      <x:c r="K760" s="32"/>
      <x:c r="L760" s="32"/>
      <x:c r="M760" s="32"/>
    </x:row>
    <x:row r="761">
      <x:c r="A761" s="32"/>
      <x:c r="B761"/>
      <x:c r="C761"/>
      <x:c r="D761"/>
      <x:c r="E761" s="20"/>
      <x:c r="F761"/>
      <x:c r="G761"/>
      <x:c r="H761" s="34"/>
      <x:c r="I761" s="34" t="str">
        <x:f>IF(H761="","",IF(G761="역방향",8-H761,H761))</x:f>
      </x:c>
      <x:c r="J761" s="32"/>
      <x:c r="K761" s="32"/>
      <x:c r="L761" s="32"/>
      <x:c r="M761" s="32"/>
    </x:row>
    <x:row r="762">
      <x:c r="A762" s="32"/>
      <x:c r="B762"/>
      <x:c r="C762"/>
      <x:c r="D762"/>
      <x:c r="E762" s="20"/>
      <x:c r="F762"/>
      <x:c r="G762"/>
      <x:c r="H762" s="34"/>
      <x:c r="I762" s="34" t="str">
        <x:f>IF(H762="","",IF(G762="역방향",8-H762,H762))</x:f>
      </x:c>
      <x:c r="J762" s="32"/>
      <x:c r="K762" s="32"/>
      <x:c r="L762" s="32"/>
      <x:c r="M762" s="32"/>
    </x:row>
    <x:row r="763">
      <x:c r="A763" s="32"/>
      <x:c r="B763"/>
      <x:c r="C763"/>
      <x:c r="D763"/>
      <x:c r="E763" s="20"/>
      <x:c r="F763"/>
      <x:c r="G763"/>
      <x:c r="H763" s="34"/>
      <x:c r="I763" s="34" t="str">
        <x:f>IF(H763="","",IF(G763="역방향",8-H763,H763))</x:f>
      </x:c>
      <x:c r="J763" s="32"/>
      <x:c r="K763" s="32"/>
      <x:c r="L763" s="32"/>
      <x:c r="M763" s="32"/>
    </x:row>
    <x:row r="764">
      <x:c r="A764" s="32"/>
      <x:c r="B764"/>
      <x:c r="C764"/>
      <x:c r="D764"/>
      <x:c r="E764" s="20"/>
      <x:c r="F764"/>
      <x:c r="G764"/>
      <x:c r="H764" s="34"/>
      <x:c r="I764" s="34" t="str">
        <x:f>IF(H764="","",IF(G764="역방향",8-H764,H764))</x:f>
      </x:c>
      <x:c r="J764" s="32"/>
      <x:c r="K764" s="32"/>
      <x:c r="L764" s="32"/>
      <x:c r="M764" s="32"/>
    </x:row>
    <x:row r="765">
      <x:c r="A765" s="32"/>
      <x:c r="B765"/>
      <x:c r="C765"/>
      <x:c r="D765"/>
      <x:c r="E765" s="20"/>
      <x:c r="F765"/>
      <x:c r="G765"/>
      <x:c r="H765" s="34"/>
      <x:c r="I765" s="34" t="str">
        <x:f>IF(H765="","",IF(G765="역방향",8-H765,H765))</x:f>
      </x:c>
      <x:c r="J765" s="32"/>
      <x:c r="K765" s="32"/>
      <x:c r="L765" s="32"/>
      <x:c r="M765" s="32"/>
    </x:row>
    <x:row r="766">
      <x:c r="A766" s="32"/>
      <x:c r="B766"/>
      <x:c r="C766"/>
      <x:c r="D766"/>
      <x:c r="E766" s="20"/>
      <x:c r="F766"/>
      <x:c r="G766"/>
      <x:c r="H766" s="34"/>
      <x:c r="I766" s="34" t="str">
        <x:f>IF(H766="","",IF(G766="역방향",8-H766,H766))</x:f>
      </x:c>
      <x:c r="J766" s="32"/>
      <x:c r="K766" s="32"/>
      <x:c r="L766" s="32"/>
      <x:c r="M766" s="32"/>
    </x:row>
    <x:row r="767">
      <x:c r="A767" s="32"/>
      <x:c r="B767"/>
      <x:c r="C767"/>
      <x:c r="D767"/>
      <x:c r="E767" s="20"/>
      <x:c r="F767"/>
      <x:c r="G767"/>
      <x:c r="H767" s="34"/>
      <x:c r="I767" s="34" t="str">
        <x:f>IF(H767="","",IF(G767="역방향",8-H767,H767))</x:f>
      </x:c>
      <x:c r="J767" s="32"/>
      <x:c r="K767" s="32"/>
      <x:c r="L767" s="32"/>
      <x:c r="M767" s="32"/>
    </x:row>
    <x:row r="768">
      <x:c r="A768" s="32"/>
      <x:c r="B768"/>
      <x:c r="C768"/>
      <x:c r="D768"/>
      <x:c r="E768" s="20"/>
      <x:c r="F768"/>
      <x:c r="G768"/>
      <x:c r="H768" s="34"/>
      <x:c r="I768" s="34" t="str">
        <x:f>IF(H768="","",IF(G768="역방향",8-H768,H768))</x:f>
      </x:c>
      <x:c r="J768" s="32"/>
      <x:c r="K768" s="32"/>
      <x:c r="L768" s="32"/>
      <x:c r="M768" s="32"/>
    </x:row>
    <x:row r="769">
      <x:c r="A769" s="32"/>
      <x:c r="B769"/>
      <x:c r="C769"/>
      <x:c r="D769"/>
      <x:c r="E769" s="20"/>
      <x:c r="F769"/>
      <x:c r="G769"/>
      <x:c r="H769" s="34"/>
      <x:c r="I769" s="34" t="str">
        <x:f>IF(H769="","",IF(G769="역방향",8-H769,H769))</x:f>
      </x:c>
      <x:c r="J769" s="32"/>
      <x:c r="K769" s="32"/>
      <x:c r="L769" s="32"/>
      <x:c r="M769" s="32"/>
    </x:row>
    <x:row r="770">
      <x:c r="A770" s="32"/>
      <x:c r="B770"/>
      <x:c r="C770"/>
      <x:c r="D770"/>
      <x:c r="E770" s="20"/>
      <x:c r="F770"/>
      <x:c r="G770"/>
      <x:c r="H770" s="34"/>
      <x:c r="I770" s="34" t="str">
        <x:f>IF(H770="","",IF(G770="역방향",8-H770,H770))</x:f>
      </x:c>
      <x:c r="J770" s="32"/>
      <x:c r="K770" s="32"/>
      <x:c r="L770" s="32"/>
      <x:c r="M770" s="32"/>
    </x:row>
    <x:row r="771">
      <x:c r="A771" s="32"/>
      <x:c r="B771"/>
      <x:c r="C771"/>
      <x:c r="D771"/>
      <x:c r="E771" s="20"/>
      <x:c r="F771"/>
      <x:c r="G771"/>
      <x:c r="H771" s="34"/>
      <x:c r="I771" s="34" t="str">
        <x:f>IF(H771="","",IF(G771="역방향",8-H771,H771))</x:f>
      </x:c>
      <x:c r="J771" s="32"/>
      <x:c r="K771" s="32"/>
      <x:c r="L771" s="32"/>
      <x:c r="M771" s="32"/>
    </x:row>
    <x:row r="772">
      <x:c r="A772" s="32"/>
      <x:c r="B772"/>
      <x:c r="C772"/>
      <x:c r="D772"/>
      <x:c r="E772" s="20"/>
      <x:c r="F772"/>
      <x:c r="G772"/>
      <x:c r="H772" s="34"/>
      <x:c r="I772" s="34" t="str">
        <x:f>IF(H772="","",IF(G772="역방향",8-H772,H772))</x:f>
      </x:c>
      <x:c r="J772" s="32"/>
      <x:c r="K772" s="32"/>
      <x:c r="L772" s="32"/>
      <x:c r="M772" s="32"/>
    </x:row>
    <x:row r="773">
      <x:c r="A773" s="32"/>
      <x:c r="B773"/>
      <x:c r="C773"/>
      <x:c r="D773"/>
      <x:c r="E773" s="20"/>
      <x:c r="F773"/>
      <x:c r="G773"/>
      <x:c r="H773" s="34"/>
      <x:c r="I773" s="34" t="str">
        <x:f>IF(H773="","",IF(G773="역방향",8-H773,H773))</x:f>
      </x:c>
      <x:c r="J773" s="32"/>
      <x:c r="K773" s="32"/>
      <x:c r="L773" s="32"/>
      <x:c r="M773" s="32"/>
    </x:row>
    <x:row r="774">
      <x:c r="A774" s="32"/>
      <x:c r="B774"/>
      <x:c r="C774"/>
      <x:c r="D774"/>
      <x:c r="E774" s="20"/>
      <x:c r="F774"/>
      <x:c r="G774"/>
      <x:c r="H774" s="34"/>
      <x:c r="I774" s="34" t="str">
        <x:f>IF(H774="","",IF(G774="역방향",8-H774,H774))</x:f>
      </x:c>
      <x:c r="J774" s="32"/>
      <x:c r="K774" s="32"/>
      <x:c r="L774" s="32"/>
      <x:c r="M774" s="32"/>
    </x:row>
    <x:row r="775">
      <x:c r="A775" s="32"/>
      <x:c r="B775"/>
      <x:c r="C775"/>
      <x:c r="D775"/>
      <x:c r="E775" s="20"/>
      <x:c r="F775"/>
      <x:c r="G775"/>
      <x:c r="H775" s="34"/>
      <x:c r="I775" s="34" t="str">
        <x:f>IF(H775="","",IF(G775="역방향",8-H775,H775))</x:f>
      </x:c>
      <x:c r="J775" s="32"/>
      <x:c r="K775" s="32"/>
      <x:c r="L775" s="32"/>
      <x:c r="M775" s="32"/>
    </x:row>
    <x:row r="776">
      <x:c r="A776" s="32"/>
      <x:c r="B776"/>
      <x:c r="C776"/>
      <x:c r="D776"/>
      <x:c r="E776" s="20"/>
      <x:c r="F776"/>
      <x:c r="G776"/>
      <x:c r="H776" s="34"/>
      <x:c r="I776" s="34" t="str">
        <x:f>IF(H776="","",IF(G776="역방향",8-H776,H776))</x:f>
      </x:c>
      <x:c r="J776" s="32"/>
      <x:c r="K776" s="32"/>
      <x:c r="L776" s="32"/>
      <x:c r="M776" s="32"/>
    </x:row>
    <x:row r="777">
      <x:c r="A777" s="32"/>
      <x:c r="B777"/>
      <x:c r="C777"/>
      <x:c r="D777"/>
      <x:c r="E777" s="20"/>
      <x:c r="F777"/>
      <x:c r="G777"/>
      <x:c r="H777" s="34"/>
      <x:c r="I777" s="34" t="str">
        <x:f>IF(H777="","",IF(G777="역방향",8-H777,H777))</x:f>
      </x:c>
      <x:c r="J777" s="32"/>
      <x:c r="K777" s="32"/>
      <x:c r="L777" s="32"/>
      <x:c r="M777" s="32"/>
    </x:row>
    <x:row r="778">
      <x:c r="A778" s="32"/>
      <x:c r="B778"/>
      <x:c r="C778"/>
      <x:c r="D778"/>
      <x:c r="E778" s="20"/>
      <x:c r="F778"/>
      <x:c r="G778"/>
      <x:c r="H778" s="34"/>
      <x:c r="I778" s="34" t="str">
        <x:f>IF(H778="","",IF(G778="역방향",8-H778,H778))</x:f>
      </x:c>
      <x:c r="J778" s="32"/>
      <x:c r="K778" s="32"/>
      <x:c r="L778" s="32"/>
      <x:c r="M778" s="32"/>
    </x:row>
    <x:row r="779">
      <x:c r="A779" s="32"/>
      <x:c r="B779"/>
      <x:c r="C779"/>
      <x:c r="D779"/>
      <x:c r="E779" s="20"/>
      <x:c r="F779"/>
      <x:c r="G779"/>
      <x:c r="H779" s="34"/>
      <x:c r="I779" s="34" t="str">
        <x:f>IF(H779="","",IF(G779="역방향",8-H779,H779))</x:f>
      </x:c>
      <x:c r="J779" s="32"/>
      <x:c r="K779" s="32"/>
      <x:c r="L779" s="32"/>
      <x:c r="M779" s="32"/>
    </x:row>
    <x:row r="780">
      <x:c r="A780" s="32"/>
      <x:c r="B780"/>
      <x:c r="C780"/>
      <x:c r="D780"/>
      <x:c r="E780" s="20"/>
      <x:c r="F780"/>
      <x:c r="G780"/>
      <x:c r="H780" s="34"/>
      <x:c r="I780" s="34" t="str">
        <x:f>IF(H780="","",IF(G780="역방향",8-H780,H780))</x:f>
      </x:c>
      <x:c r="J780" s="32"/>
      <x:c r="K780" s="32"/>
      <x:c r="L780" s="32"/>
      <x:c r="M780" s="32"/>
    </x:row>
    <x:row r="781">
      <x:c r="A781" s="32"/>
      <x:c r="B781"/>
      <x:c r="C781"/>
      <x:c r="D781"/>
      <x:c r="E781" s="20"/>
      <x:c r="F781"/>
      <x:c r="G781"/>
      <x:c r="H781" s="34"/>
      <x:c r="I781" s="34" t="str">
        <x:f>IF(H781="","",IF(G781="역방향",8-H781,H781))</x:f>
      </x:c>
      <x:c r="J781" s="32"/>
      <x:c r="K781" s="32"/>
      <x:c r="L781" s="32"/>
      <x:c r="M781" s="32"/>
    </x:row>
    <x:row r="782">
      <x:c r="A782" s="32"/>
      <x:c r="B782"/>
      <x:c r="C782"/>
      <x:c r="D782"/>
      <x:c r="E782" s="20"/>
      <x:c r="F782"/>
      <x:c r="G782"/>
      <x:c r="H782" s="34"/>
      <x:c r="I782" s="34" t="str">
        <x:f>IF(H782="","",IF(G782="역방향",8-H782,H782))</x:f>
      </x:c>
      <x:c r="J782" s="32"/>
      <x:c r="K782" s="32"/>
      <x:c r="L782" s="32"/>
      <x:c r="M782" s="32"/>
    </x:row>
    <x:row r="783">
      <x:c r="A783" s="32"/>
      <x:c r="B783"/>
      <x:c r="C783"/>
      <x:c r="D783"/>
      <x:c r="E783" s="20"/>
      <x:c r="F783"/>
      <x:c r="G783"/>
      <x:c r="H783" s="34"/>
      <x:c r="I783" s="34" t="str">
        <x:f>IF(H783="","",IF(G783="역방향",8-H783,H783))</x:f>
      </x:c>
      <x:c r="J783" s="32"/>
      <x:c r="K783" s="32"/>
      <x:c r="L783" s="32"/>
      <x:c r="M783" s="32"/>
    </x:row>
    <x:row r="784">
      <x:c r="A784" s="32"/>
      <x:c r="B784"/>
      <x:c r="C784"/>
      <x:c r="D784"/>
      <x:c r="E784" s="20"/>
      <x:c r="F784"/>
      <x:c r="G784"/>
      <x:c r="H784" s="34"/>
      <x:c r="I784" s="34" t="str">
        <x:f>IF(H784="","",IF(G784="역방향",8-H784,H784))</x:f>
      </x:c>
      <x:c r="J784" s="32"/>
      <x:c r="K784" s="32"/>
      <x:c r="L784" s="32"/>
      <x:c r="M784" s="32"/>
    </x:row>
    <x:row r="785">
      <x:c r="A785" s="32"/>
      <x:c r="B785"/>
      <x:c r="C785"/>
      <x:c r="D785"/>
      <x:c r="E785" s="20"/>
      <x:c r="F785"/>
      <x:c r="G785"/>
      <x:c r="H785" s="34"/>
      <x:c r="I785" s="34" t="str">
        <x:f>IF(H785="","",IF(G785="역방향",8-H785,H785))</x:f>
      </x:c>
      <x:c r="J785" s="32"/>
      <x:c r="K785" s="32"/>
      <x:c r="L785" s="32"/>
      <x:c r="M785" s="32"/>
    </x:row>
    <x:row r="786">
      <x:c r="A786" s="32"/>
      <x:c r="B786"/>
      <x:c r="C786"/>
      <x:c r="D786"/>
      <x:c r="E786" s="20"/>
      <x:c r="F786"/>
      <x:c r="G786"/>
      <x:c r="H786" s="34"/>
      <x:c r="I786" s="34" t="str">
        <x:f>IF(H786="","",IF(G786="역방향",8-H786,H786))</x:f>
      </x:c>
      <x:c r="J786" s="32"/>
      <x:c r="K786" s="32"/>
      <x:c r="L786" s="32"/>
      <x:c r="M786" s="32"/>
    </x:row>
    <x:row r="787">
      <x:c r="A787" s="32"/>
      <x:c r="B787"/>
      <x:c r="C787"/>
      <x:c r="D787"/>
      <x:c r="E787" s="20"/>
      <x:c r="F787"/>
      <x:c r="G787"/>
      <x:c r="H787" s="34"/>
      <x:c r="I787" s="34" t="str">
        <x:f>IF(H787="","",IF(G787="역방향",8-H787,H787))</x:f>
      </x:c>
      <x:c r="J787" s="32"/>
      <x:c r="K787" s="32"/>
      <x:c r="L787" s="32"/>
      <x:c r="M787" s="32"/>
    </x:row>
    <x:row r="788">
      <x:c r="A788" s="32"/>
      <x:c r="B788"/>
      <x:c r="C788"/>
      <x:c r="D788"/>
      <x:c r="E788" s="20"/>
      <x:c r="F788"/>
      <x:c r="G788"/>
      <x:c r="H788" s="34"/>
      <x:c r="I788" s="34" t="str">
        <x:f>IF(H788="","",IF(G788="역방향",8-H788,H788))</x:f>
      </x:c>
      <x:c r="J788" s="32"/>
      <x:c r="K788" s="32"/>
      <x:c r="L788" s="32"/>
      <x:c r="M788" s="32"/>
    </x:row>
    <x:row r="789">
      <x:c r="A789" s="32"/>
      <x:c r="B789"/>
      <x:c r="C789"/>
      <x:c r="D789"/>
      <x:c r="E789" s="20"/>
      <x:c r="F789"/>
      <x:c r="G789"/>
      <x:c r="H789" s="34"/>
      <x:c r="I789" s="34" t="str">
        <x:f>IF(H789="","",IF(G789="역방향",8-H789,H789))</x:f>
      </x:c>
      <x:c r="J789" s="32"/>
      <x:c r="K789" s="32"/>
      <x:c r="L789" s="32"/>
      <x:c r="M789" s="32"/>
    </x:row>
    <x:row r="790">
      <x:c r="A790" s="32"/>
      <x:c r="B790"/>
      <x:c r="C790"/>
      <x:c r="D790"/>
      <x:c r="E790" s="20"/>
      <x:c r="F790"/>
      <x:c r="G790"/>
      <x:c r="H790" s="34"/>
      <x:c r="I790" s="34" t="str">
        <x:f>IF(H790="","",IF(G790="역방향",8-H790,H790))</x:f>
      </x:c>
      <x:c r="J790" s="32"/>
      <x:c r="K790" s="32"/>
      <x:c r="L790" s="32"/>
      <x:c r="M790" s="32"/>
    </x:row>
    <x:row r="791">
      <x:c r="A791" s="32"/>
      <x:c r="B791"/>
      <x:c r="C791"/>
      <x:c r="D791"/>
      <x:c r="E791" s="20"/>
      <x:c r="F791"/>
      <x:c r="G791"/>
      <x:c r="H791" s="34"/>
      <x:c r="I791" s="34" t="str">
        <x:f>IF(H791="","",IF(G791="역방향",8-H791,H791))</x:f>
      </x:c>
      <x:c r="J791" s="32"/>
      <x:c r="K791" s="32"/>
      <x:c r="L791" s="32"/>
      <x:c r="M791" s="32"/>
    </x:row>
    <x:row r="792">
      <x:c r="A792" s="32"/>
      <x:c r="B792"/>
      <x:c r="C792"/>
      <x:c r="D792"/>
      <x:c r="E792" s="20"/>
      <x:c r="F792"/>
      <x:c r="G792"/>
      <x:c r="H792" s="34"/>
      <x:c r="I792" s="34" t="str">
        <x:f>IF(H792="","",IF(G792="역방향",8-H792,H792))</x:f>
      </x:c>
      <x:c r="J792" s="32"/>
      <x:c r="K792" s="32"/>
      <x:c r="L792" s="32"/>
      <x:c r="M792" s="32"/>
    </x:row>
    <x:row r="793">
      <x:c r="A793" s="32"/>
      <x:c r="B793"/>
      <x:c r="C793"/>
      <x:c r="D793"/>
      <x:c r="E793" s="20"/>
      <x:c r="F793"/>
      <x:c r="G793"/>
      <x:c r="H793" s="34"/>
      <x:c r="I793" s="34" t="str">
        <x:f>IF(H793="","",IF(G793="역방향",8-H793,H793))</x:f>
      </x:c>
      <x:c r="J793" s="32"/>
      <x:c r="K793" s="32"/>
      <x:c r="L793" s="32"/>
      <x:c r="M793" s="32"/>
    </x:row>
    <x:row r="794">
      <x:c r="A794" s="32"/>
      <x:c r="B794"/>
      <x:c r="C794"/>
      <x:c r="D794"/>
      <x:c r="E794" s="20"/>
      <x:c r="F794"/>
      <x:c r="G794"/>
      <x:c r="H794" s="34"/>
      <x:c r="I794" s="34" t="str">
        <x:f>IF(H794="","",IF(G794="역방향",8-H794,H794))</x:f>
      </x:c>
      <x:c r="J794" s="32"/>
      <x:c r="K794" s="32"/>
      <x:c r="L794" s="32"/>
      <x:c r="M794" s="32"/>
    </x:row>
    <x:row r="795">
      <x:c r="A795" s="32"/>
      <x:c r="B795"/>
      <x:c r="C795"/>
      <x:c r="D795"/>
      <x:c r="E795" s="20"/>
      <x:c r="F795"/>
      <x:c r="G795"/>
      <x:c r="H795" s="34"/>
      <x:c r="I795" s="34" t="str">
        <x:f>IF(H795="","",IF(G795="역방향",8-H795,H795))</x:f>
      </x:c>
      <x:c r="J795" s="32"/>
      <x:c r="K795" s="32"/>
      <x:c r="L795" s="32"/>
      <x:c r="M795" s="32"/>
    </x:row>
    <x:row r="796">
      <x:c r="A796" s="32"/>
      <x:c r="B796"/>
      <x:c r="C796"/>
      <x:c r="D796"/>
      <x:c r="E796" s="20"/>
      <x:c r="F796"/>
      <x:c r="G796"/>
      <x:c r="H796" s="34"/>
      <x:c r="I796" s="34" t="str">
        <x:f>IF(H796="","",IF(G796="역방향",8-H796,H796))</x:f>
      </x:c>
      <x:c r="J796" s="32"/>
      <x:c r="K796" s="32"/>
      <x:c r="L796" s="32"/>
      <x:c r="M796" s="32"/>
    </x:row>
    <x:row r="797">
      <x:c r="A797" s="32"/>
      <x:c r="B797"/>
      <x:c r="C797"/>
      <x:c r="D797"/>
      <x:c r="E797" s="20"/>
      <x:c r="F797"/>
      <x:c r="G797"/>
      <x:c r="H797" s="34"/>
      <x:c r="I797" s="34" t="str">
        <x:f>IF(H797="","",IF(G797="역방향",8-H797,H797))</x:f>
      </x:c>
      <x:c r="J797" s="32"/>
      <x:c r="K797" s="32"/>
      <x:c r="L797" s="32"/>
      <x:c r="M797" s="32"/>
    </x:row>
    <x:row r="798">
      <x:c r="A798" s="32"/>
      <x:c r="B798"/>
      <x:c r="C798"/>
      <x:c r="D798"/>
      <x:c r="E798" s="20"/>
      <x:c r="F798"/>
      <x:c r="G798"/>
      <x:c r="H798" s="34"/>
      <x:c r="I798" s="34" t="str">
        <x:f>IF(H798="","",IF(G798="역방향",8-H798,H798))</x:f>
      </x:c>
      <x:c r="J798" s="32"/>
      <x:c r="K798" s="32"/>
      <x:c r="L798" s="32"/>
      <x:c r="M798" s="32"/>
    </x:row>
    <x:row r="799">
      <x:c r="A799" s="32"/>
      <x:c r="B799"/>
      <x:c r="C799"/>
      <x:c r="D799"/>
      <x:c r="E799" s="20"/>
      <x:c r="F799"/>
      <x:c r="G799"/>
      <x:c r="H799" s="34"/>
      <x:c r="I799" s="34" t="str">
        <x:f>IF(H799="","",IF(G799="역방향",8-H799,H799))</x:f>
      </x:c>
      <x:c r="J799" s="32"/>
      <x:c r="K799" s="32"/>
      <x:c r="L799" s="32"/>
      <x:c r="M799" s="32"/>
    </x:row>
    <x:row r="800">
      <x:c r="A800" s="32"/>
      <x:c r="B800"/>
      <x:c r="C800"/>
      <x:c r="D800"/>
      <x:c r="E800" s="20"/>
      <x:c r="F800"/>
      <x:c r="G800"/>
      <x:c r="H800" s="34"/>
      <x:c r="I800" s="34" t="str">
        <x:f>IF(H800="","",IF(G800="역방향",8-H800,H800))</x:f>
      </x:c>
      <x:c r="J800" s="32"/>
      <x:c r="K800" s="32"/>
      <x:c r="L800" s="32"/>
      <x:c r="M800" s="32"/>
    </x:row>
    <x:row r="801">
      <x:c r="A801" s="32"/>
      <x:c r="B801"/>
      <x:c r="C801"/>
      <x:c r="D801"/>
      <x:c r="E801" s="20"/>
      <x:c r="F801"/>
      <x:c r="G801"/>
      <x:c r="H801" s="34"/>
      <x:c r="I801" s="34" t="str">
        <x:f>IF(H801="","",IF(G801="역방향",8-H801,H801))</x:f>
      </x:c>
      <x:c r="J801" s="32"/>
      <x:c r="K801" s="32"/>
      <x:c r="L801" s="32"/>
      <x:c r="M801" s="32"/>
    </x:row>
    <x:row r="802">
      <x:c r="A802" s="32"/>
      <x:c r="B802"/>
      <x:c r="C802"/>
      <x:c r="D802"/>
      <x:c r="E802" s="20"/>
      <x:c r="F802"/>
      <x:c r="G802"/>
      <x:c r="H802" s="34"/>
      <x:c r="I802" s="34" t="str">
        <x:f>IF(H802="","",IF(G802="역방향",8-H802,H802))</x:f>
      </x:c>
      <x:c r="J802" s="32"/>
      <x:c r="K802" s="32"/>
      <x:c r="L802" s="32"/>
      <x:c r="M802" s="32"/>
    </x:row>
    <x:row r="803">
      <x:c r="A803" s="32"/>
      <x:c r="B803"/>
      <x:c r="C803"/>
      <x:c r="D803"/>
      <x:c r="E803" s="20"/>
      <x:c r="F803"/>
      <x:c r="G803"/>
      <x:c r="H803" s="34"/>
      <x:c r="I803" s="34" t="str">
        <x:f>IF(H803="","",IF(G803="역방향",8-H803,H803))</x:f>
      </x:c>
      <x:c r="J803" s="32"/>
      <x:c r="K803" s="32"/>
      <x:c r="L803" s="32"/>
      <x:c r="M803" s="32"/>
    </x:row>
    <x:row r="804">
      <x:c r="A804" s="32"/>
      <x:c r="B804"/>
      <x:c r="C804"/>
      <x:c r="D804"/>
      <x:c r="E804" s="20"/>
      <x:c r="F804"/>
      <x:c r="G804"/>
      <x:c r="H804" s="34"/>
      <x:c r="I804" s="34" t="str">
        <x:f>IF(H804="","",IF(G804="역방향",8-H804,H804))</x:f>
      </x:c>
      <x:c r="J804" s="32"/>
      <x:c r="K804" s="32"/>
      <x:c r="L804" s="32"/>
      <x:c r="M804" s="32"/>
    </x:row>
    <x:row r="805">
      <x:c r="A805" s="32"/>
      <x:c r="B805"/>
      <x:c r="C805"/>
      <x:c r="D805"/>
      <x:c r="E805" s="20"/>
      <x:c r="F805"/>
      <x:c r="G805"/>
      <x:c r="H805" s="34"/>
      <x:c r="I805" s="34" t="str">
        <x:f>IF(H805="","",IF(G805="역방향",8-H805,H805))</x:f>
      </x:c>
      <x:c r="J805" s="32"/>
      <x:c r="K805" s="32"/>
      <x:c r="L805" s="32"/>
      <x:c r="M805" s="32"/>
    </x:row>
    <x:row r="806">
      <x:c r="A806" s="32"/>
      <x:c r="B806"/>
      <x:c r="C806"/>
      <x:c r="D806"/>
      <x:c r="E806" s="20"/>
      <x:c r="F806"/>
      <x:c r="G806"/>
      <x:c r="H806" s="34"/>
      <x:c r="I806" s="34" t="str">
        <x:f>IF(H806="","",IF(G806="역방향",8-H806,H806))</x:f>
      </x:c>
      <x:c r="J806" s="32"/>
      <x:c r="K806" s="32"/>
      <x:c r="L806" s="32"/>
      <x:c r="M806" s="32"/>
    </x:row>
    <x:row r="807">
      <x:c r="A807" s="32"/>
      <x:c r="B807"/>
      <x:c r="C807"/>
      <x:c r="D807"/>
      <x:c r="E807" s="20"/>
      <x:c r="F807"/>
      <x:c r="G807"/>
      <x:c r="H807" s="34"/>
      <x:c r="I807" s="34" t="str">
        <x:f>IF(H807="","",IF(G807="역방향",8-H807,H807))</x:f>
      </x:c>
      <x:c r="J807" s="32"/>
      <x:c r="K807" s="32"/>
      <x:c r="L807" s="32"/>
      <x:c r="M807" s="32"/>
    </x:row>
    <x:row r="808">
      <x:c r="A808" s="32"/>
      <x:c r="B808"/>
      <x:c r="C808"/>
      <x:c r="D808"/>
      <x:c r="E808" s="20"/>
      <x:c r="F808"/>
      <x:c r="G808"/>
      <x:c r="H808" s="34"/>
      <x:c r="I808" s="34" t="str">
        <x:f>IF(H808="","",IF(G808="역방향",8-H808,H808))</x:f>
      </x:c>
      <x:c r="J808" s="32"/>
      <x:c r="K808" s="32"/>
      <x:c r="L808" s="32"/>
      <x:c r="M808" s="32"/>
    </x:row>
    <x:row r="809">
      <x:c r="A809" s="32"/>
      <x:c r="B809"/>
      <x:c r="C809"/>
      <x:c r="D809"/>
      <x:c r="E809" s="20"/>
      <x:c r="F809"/>
      <x:c r="G809"/>
      <x:c r="H809" s="34"/>
      <x:c r="I809" s="34" t="str">
        <x:f>IF(H809="","",IF(G809="역방향",8-H809,H809))</x:f>
      </x:c>
      <x:c r="J809" s="32"/>
      <x:c r="K809" s="32"/>
      <x:c r="L809" s="32"/>
      <x:c r="M809" s="32"/>
    </x:row>
    <x:row r="810">
      <x:c r="A810" s="32"/>
      <x:c r="B810"/>
      <x:c r="C810"/>
      <x:c r="D810"/>
      <x:c r="E810" s="20"/>
      <x:c r="F810"/>
      <x:c r="G810"/>
      <x:c r="H810" s="34"/>
      <x:c r="I810" s="34" t="str">
        <x:f>IF(H810="","",IF(G810="역방향",8-H810,H810))</x:f>
      </x:c>
      <x:c r="J810" s="32"/>
      <x:c r="K810" s="32"/>
      <x:c r="L810" s="32"/>
      <x:c r="M810" s="32"/>
    </x:row>
    <x:row r="811">
      <x:c r="A811" s="32"/>
      <x:c r="B811"/>
      <x:c r="C811"/>
      <x:c r="D811"/>
      <x:c r="E811" s="20"/>
      <x:c r="F811"/>
      <x:c r="G811"/>
      <x:c r="H811" s="34"/>
      <x:c r="I811" s="34" t="str">
        <x:f>IF(H811="","",IF(G811="역방향",8-H811,H811))</x:f>
      </x:c>
      <x:c r="J811" s="32"/>
      <x:c r="K811" s="32"/>
      <x:c r="L811" s="32"/>
      <x:c r="M811" s="32"/>
    </x:row>
    <x:row r="812">
      <x:c r="A812" s="32"/>
      <x:c r="B812"/>
      <x:c r="C812"/>
      <x:c r="D812"/>
      <x:c r="E812" s="20"/>
      <x:c r="F812"/>
      <x:c r="G812"/>
      <x:c r="H812" s="34"/>
      <x:c r="I812" s="34" t="str">
        <x:f>IF(H812="","",IF(G812="역방향",8-H812,H812))</x:f>
      </x:c>
      <x:c r="J812" s="32"/>
      <x:c r="K812" s="32"/>
      <x:c r="L812" s="32"/>
      <x:c r="M812" s="32"/>
    </x:row>
    <x:row r="813">
      <x:c r="A813" s="32"/>
      <x:c r="B813"/>
      <x:c r="C813"/>
      <x:c r="D813"/>
      <x:c r="E813" s="20"/>
      <x:c r="F813"/>
      <x:c r="G813"/>
      <x:c r="H813" s="34"/>
      <x:c r="I813" s="34" t="str">
        <x:f>IF(H813="","",IF(G813="역방향",8-H813,H813))</x:f>
      </x:c>
      <x:c r="J813" s="32"/>
      <x:c r="K813" s="32"/>
      <x:c r="L813" s="32"/>
      <x:c r="M813" s="32"/>
    </x:row>
    <x:row r="814">
      <x:c r="A814" s="32"/>
      <x:c r="B814"/>
      <x:c r="C814"/>
      <x:c r="D814"/>
      <x:c r="E814" s="20"/>
      <x:c r="F814"/>
      <x:c r="G814"/>
      <x:c r="H814" s="34"/>
      <x:c r="I814" s="34" t="str">
        <x:f>IF(H814="","",IF(G814="역방향",8-H814,H814))</x:f>
      </x:c>
      <x:c r="J814" s="32"/>
      <x:c r="K814" s="32"/>
      <x:c r="L814" s="32"/>
      <x:c r="M814" s="32"/>
    </x:row>
    <x:row r="815">
      <x:c r="A815" s="32"/>
      <x:c r="B815"/>
      <x:c r="C815"/>
      <x:c r="D815"/>
      <x:c r="E815" s="20"/>
      <x:c r="F815"/>
      <x:c r="G815"/>
      <x:c r="H815" s="34"/>
      <x:c r="I815" s="34" t="str">
        <x:f>IF(H815="","",IF(G815="역방향",8-H815,H815))</x:f>
      </x:c>
      <x:c r="J815" s="32"/>
      <x:c r="K815" s="32"/>
      <x:c r="L815" s="32"/>
      <x:c r="M815" s="32"/>
    </x:row>
    <x:row r="816">
      <x:c r="A816" s="32"/>
      <x:c r="B816"/>
      <x:c r="C816"/>
      <x:c r="D816"/>
      <x:c r="E816" s="20"/>
      <x:c r="F816"/>
      <x:c r="G816"/>
      <x:c r="H816" s="34"/>
      <x:c r="I816" s="34" t="str">
        <x:f>IF(H816="","",IF(G816="역방향",8-H816,H816))</x:f>
      </x:c>
      <x:c r="J816" s="32"/>
      <x:c r="K816" s="32"/>
      <x:c r="L816" s="32"/>
      <x:c r="M816" s="32"/>
    </x:row>
    <x:row r="817">
      <x:c r="A817" s="32"/>
      <x:c r="B817"/>
      <x:c r="C817"/>
      <x:c r="D817"/>
      <x:c r="E817" s="20"/>
      <x:c r="F817"/>
      <x:c r="G817"/>
      <x:c r="H817" s="34"/>
      <x:c r="I817" s="34" t="str">
        <x:f>IF(H817="","",IF(G817="역방향",8-H817,H817))</x:f>
      </x:c>
      <x:c r="J817" s="32"/>
      <x:c r="K817" s="32"/>
      <x:c r="L817" s="32"/>
      <x:c r="M817" s="32"/>
    </x:row>
    <x:row r="818">
      <x:c r="A818" s="32"/>
      <x:c r="B818"/>
      <x:c r="C818"/>
      <x:c r="D818"/>
      <x:c r="E818" s="20"/>
      <x:c r="F818"/>
      <x:c r="G818"/>
      <x:c r="H818" s="34"/>
      <x:c r="I818" s="34" t="str">
        <x:f>IF(H818="","",IF(G818="역방향",8-H818,H818))</x:f>
      </x:c>
      <x:c r="J818" s="32"/>
      <x:c r="K818" s="32"/>
      <x:c r="L818" s="32"/>
      <x:c r="M818" s="32"/>
    </x:row>
    <x:row r="819">
      <x:c r="A819" s="32"/>
      <x:c r="B819"/>
      <x:c r="C819"/>
      <x:c r="D819"/>
      <x:c r="E819" s="20"/>
      <x:c r="F819"/>
      <x:c r="G819"/>
      <x:c r="H819" s="34"/>
      <x:c r="I819" s="34" t="str">
        <x:f>IF(H819="","",IF(G819="역방향",8-H819,H819))</x:f>
      </x:c>
      <x:c r="J819" s="32"/>
      <x:c r="K819" s="32"/>
      <x:c r="L819" s="32"/>
      <x:c r="M819" s="32"/>
    </x:row>
    <x:row r="820">
      <x:c r="A820" s="32"/>
      <x:c r="B820"/>
      <x:c r="C820"/>
      <x:c r="D820"/>
      <x:c r="E820" s="20"/>
      <x:c r="F820"/>
      <x:c r="G820"/>
      <x:c r="H820" s="34"/>
      <x:c r="I820" s="34" t="str">
        <x:f>IF(H820="","",IF(G820="역방향",8-H820,H820))</x:f>
      </x:c>
      <x:c r="J820" s="32"/>
      <x:c r="K820" s="32"/>
      <x:c r="L820" s="32"/>
      <x:c r="M820" s="32"/>
    </x:row>
    <x:row r="821">
      <x:c r="A821" s="32"/>
      <x:c r="B821"/>
      <x:c r="C821"/>
      <x:c r="D821"/>
      <x:c r="E821" s="20"/>
      <x:c r="F821"/>
      <x:c r="G821"/>
      <x:c r="H821" s="34"/>
      <x:c r="I821" s="34" t="str">
        <x:f>IF(H821="","",IF(G821="역방향",8-H821,H821))</x:f>
      </x:c>
      <x:c r="J821" s="32"/>
      <x:c r="K821" s="32"/>
      <x:c r="L821" s="32"/>
      <x:c r="M821" s="32"/>
    </x:row>
    <x:row r="822">
      <x:c r="A822" s="32"/>
      <x:c r="B822"/>
      <x:c r="C822"/>
      <x:c r="D822"/>
      <x:c r="E822" s="20"/>
      <x:c r="F822"/>
      <x:c r="G822"/>
      <x:c r="H822" s="34"/>
      <x:c r="I822" s="34" t="str">
        <x:f>IF(H822="","",IF(G822="역방향",8-H822,H822))</x:f>
      </x:c>
      <x:c r="J822" s="32"/>
      <x:c r="K822" s="32"/>
      <x:c r="L822" s="32"/>
      <x:c r="M822" s="32"/>
    </x:row>
    <x:row r="823">
      <x:c r="A823" s="32"/>
      <x:c r="B823"/>
      <x:c r="C823"/>
      <x:c r="D823"/>
      <x:c r="E823" s="20"/>
      <x:c r="F823"/>
      <x:c r="G823"/>
      <x:c r="H823" s="34"/>
      <x:c r="I823" s="34" t="str">
        <x:f>IF(H823="","",IF(G823="역방향",8-H823,H823))</x:f>
      </x:c>
      <x:c r="J823" s="32"/>
      <x:c r="K823" s="32"/>
      <x:c r="L823" s="32"/>
      <x:c r="M823" s="32"/>
    </x:row>
    <x:row r="824">
      <x:c r="A824" s="32"/>
      <x:c r="B824"/>
      <x:c r="C824"/>
      <x:c r="D824"/>
      <x:c r="E824" s="20"/>
      <x:c r="F824"/>
      <x:c r="G824"/>
      <x:c r="H824" s="34"/>
      <x:c r="I824" s="34" t="str">
        <x:f>IF(H824="","",IF(G824="역방향",8-H824,H824))</x:f>
      </x:c>
      <x:c r="J824" s="32"/>
      <x:c r="K824" s="32"/>
      <x:c r="L824" s="32"/>
      <x:c r="M824" s="32"/>
    </x:row>
    <x:row r="825">
      <x:c r="A825" s="32"/>
      <x:c r="B825"/>
      <x:c r="C825"/>
      <x:c r="D825"/>
      <x:c r="E825" s="20"/>
      <x:c r="F825"/>
      <x:c r="G825"/>
      <x:c r="H825" s="34"/>
      <x:c r="I825" s="34" t="str">
        <x:f>IF(H825="","",IF(G825="역방향",8-H825,H825))</x:f>
      </x:c>
      <x:c r="J825" s="32"/>
      <x:c r="K825" s="32"/>
      <x:c r="L825" s="32"/>
      <x:c r="M825" s="32"/>
    </x:row>
    <x:row r="826">
      <x:c r="A826" s="32"/>
      <x:c r="B826"/>
      <x:c r="C826"/>
      <x:c r="D826"/>
      <x:c r="E826" s="20"/>
      <x:c r="F826"/>
      <x:c r="G826"/>
      <x:c r="H826" s="34"/>
      <x:c r="I826" s="34" t="str">
        <x:f>IF(H826="","",IF(G826="역방향",8-H826,H826))</x:f>
      </x:c>
      <x:c r="J826" s="32"/>
      <x:c r="K826" s="32"/>
      <x:c r="L826" s="32"/>
      <x:c r="M826" s="32"/>
    </x:row>
    <x:row r="827">
      <x:c r="A827" s="32"/>
      <x:c r="B827"/>
      <x:c r="C827"/>
      <x:c r="D827"/>
      <x:c r="E827" s="20"/>
      <x:c r="F827"/>
      <x:c r="G827"/>
      <x:c r="H827" s="34"/>
      <x:c r="I827" s="34" t="str">
        <x:f>IF(H827="","",IF(G827="역방향",8-H827,H827))</x:f>
      </x:c>
      <x:c r="J827" s="32"/>
      <x:c r="K827" s="32"/>
      <x:c r="L827" s="32"/>
      <x:c r="M827" s="32"/>
    </x:row>
    <x:row r="828">
      <x:c r="A828" s="32"/>
      <x:c r="B828"/>
      <x:c r="C828"/>
      <x:c r="D828"/>
      <x:c r="E828" s="20"/>
      <x:c r="F828"/>
      <x:c r="G828"/>
      <x:c r="H828" s="34"/>
      <x:c r="I828" s="34" t="str">
        <x:f>IF(H828="","",IF(G828="역방향",8-H828,H828))</x:f>
      </x:c>
      <x:c r="J828" s="32"/>
      <x:c r="K828" s="32"/>
      <x:c r="L828" s="32"/>
      <x:c r="M828" s="32"/>
    </x:row>
    <x:row r="829">
      <x:c r="A829" s="32"/>
      <x:c r="B829"/>
      <x:c r="C829"/>
      <x:c r="D829"/>
      <x:c r="E829" s="20"/>
      <x:c r="F829"/>
      <x:c r="G829"/>
      <x:c r="H829" s="34"/>
      <x:c r="I829" s="34" t="str">
        <x:f>IF(H829="","",IF(G829="역방향",8-H829,H829))</x:f>
      </x:c>
      <x:c r="J829" s="32"/>
      <x:c r="K829" s="32"/>
      <x:c r="L829" s="32"/>
      <x:c r="M829" s="32"/>
    </x:row>
    <x:row r="830">
      <x:c r="A830" s="32"/>
      <x:c r="B830"/>
      <x:c r="C830"/>
      <x:c r="D830"/>
      <x:c r="E830" s="20"/>
      <x:c r="F830"/>
      <x:c r="G830"/>
      <x:c r="H830" s="34"/>
      <x:c r="I830" s="34" t="str">
        <x:f>IF(H830="","",IF(G830="역방향",8-H830,H830))</x:f>
      </x:c>
      <x:c r="J830" s="32"/>
      <x:c r="K830" s="32"/>
      <x:c r="L830" s="32"/>
      <x:c r="M830" s="32"/>
    </x:row>
    <x:row r="831">
      <x:c r="A831" s="32"/>
      <x:c r="B831"/>
      <x:c r="C831"/>
      <x:c r="D831"/>
      <x:c r="E831" s="20"/>
      <x:c r="F831"/>
      <x:c r="G831"/>
      <x:c r="H831" s="34"/>
      <x:c r="I831" s="34" t="str">
        <x:f>IF(H831="","",IF(G831="역방향",8-H831,H831))</x:f>
      </x:c>
      <x:c r="J831" s="32"/>
      <x:c r="K831" s="32"/>
      <x:c r="L831" s="32"/>
      <x:c r="M831" s="32"/>
    </x:row>
    <x:row r="832">
      <x:c r="A832" s="32"/>
      <x:c r="B832"/>
      <x:c r="C832"/>
      <x:c r="D832"/>
      <x:c r="E832" s="20"/>
      <x:c r="F832"/>
      <x:c r="G832"/>
      <x:c r="H832" s="34"/>
      <x:c r="I832" s="34" t="str">
        <x:f>IF(H832="","",IF(G832="역방향",8-H832,H832))</x:f>
      </x:c>
      <x:c r="J832" s="32"/>
      <x:c r="K832" s="32"/>
      <x:c r="L832" s="32"/>
      <x:c r="M832" s="32"/>
    </x:row>
    <x:row r="833">
      <x:c r="A833" s="32"/>
      <x:c r="B833"/>
      <x:c r="C833"/>
      <x:c r="D833"/>
      <x:c r="E833" s="20"/>
      <x:c r="F833"/>
      <x:c r="G833"/>
      <x:c r="H833" s="34"/>
      <x:c r="I833" s="34" t="str">
        <x:f>IF(H833="","",IF(G833="역방향",8-H833,H833))</x:f>
      </x:c>
      <x:c r="J833" s="32"/>
      <x:c r="K833" s="32"/>
      <x:c r="L833" s="32"/>
      <x:c r="M833" s="32"/>
    </x:row>
    <x:row r="834">
      <x:c r="A834" s="32"/>
      <x:c r="B834"/>
      <x:c r="C834"/>
      <x:c r="D834"/>
      <x:c r="E834" s="20"/>
      <x:c r="F834"/>
      <x:c r="G834"/>
      <x:c r="H834" s="34"/>
      <x:c r="I834" s="34" t="str">
        <x:f>IF(H834="","",IF(G834="역방향",8-H834,H834))</x:f>
      </x:c>
      <x:c r="J834" s="32"/>
      <x:c r="K834" s="32"/>
      <x:c r="L834" s="32"/>
      <x:c r="M834" s="32"/>
    </x:row>
    <x:row r="835">
      <x:c r="A835" s="32"/>
      <x:c r="B835"/>
      <x:c r="C835"/>
      <x:c r="D835"/>
      <x:c r="E835" s="20"/>
      <x:c r="F835"/>
      <x:c r="G835"/>
      <x:c r="H835" s="34"/>
      <x:c r="I835" s="34" t="str">
        <x:f>IF(H835="","",IF(G835="역방향",8-H835,H835))</x:f>
      </x:c>
      <x:c r="J835" s="32"/>
      <x:c r="K835" s="32"/>
      <x:c r="L835" s="32"/>
      <x:c r="M835" s="32"/>
    </x:row>
    <x:row r="836">
      <x:c r="A836" s="32"/>
      <x:c r="B836"/>
      <x:c r="C836"/>
      <x:c r="D836"/>
      <x:c r="E836" s="20"/>
      <x:c r="F836"/>
      <x:c r="G836"/>
      <x:c r="H836" s="34"/>
      <x:c r="I836" s="34" t="str">
        <x:f>IF(H836="","",IF(G836="역방향",8-H836,H836))</x:f>
      </x:c>
      <x:c r="J836" s="32"/>
      <x:c r="K836" s="32"/>
      <x:c r="L836" s="32"/>
      <x:c r="M836" s="32"/>
    </x:row>
    <x:row r="837">
      <x:c r="A837" s="32"/>
      <x:c r="B837"/>
      <x:c r="C837"/>
      <x:c r="D837"/>
      <x:c r="E837" s="20"/>
      <x:c r="F837"/>
      <x:c r="G837"/>
      <x:c r="H837" s="34"/>
      <x:c r="I837" s="34" t="str">
        <x:f>IF(H837="","",IF(G837="역방향",8-H837,H837))</x:f>
      </x:c>
      <x:c r="J837" s="32"/>
      <x:c r="K837" s="32"/>
      <x:c r="L837" s="32"/>
      <x:c r="M837" s="32"/>
    </x:row>
    <x:row r="838">
      <x:c r="A838" s="32"/>
      <x:c r="B838"/>
      <x:c r="C838"/>
      <x:c r="D838"/>
      <x:c r="E838" s="20"/>
      <x:c r="F838"/>
      <x:c r="G838"/>
      <x:c r="H838" s="34"/>
      <x:c r="I838" s="34" t="str">
        <x:f>IF(H838="","",IF(G838="역방향",8-H838,H838))</x:f>
      </x:c>
      <x:c r="J838" s="32"/>
      <x:c r="K838" s="32"/>
      <x:c r="L838" s="32"/>
      <x:c r="M838" s="32"/>
    </x:row>
    <x:row r="839">
      <x:c r="A839" s="32"/>
      <x:c r="B839"/>
      <x:c r="C839"/>
      <x:c r="D839"/>
      <x:c r="E839" s="20"/>
      <x:c r="F839"/>
      <x:c r="G839"/>
      <x:c r="H839" s="34"/>
      <x:c r="I839" s="34" t="str">
        <x:f>IF(H839="","",IF(G839="역방향",8-H839,H839))</x:f>
      </x:c>
      <x:c r="J839" s="32"/>
      <x:c r="K839" s="32"/>
      <x:c r="L839" s="32"/>
      <x:c r="M839" s="32"/>
    </x:row>
    <x:row r="840">
      <x:c r="A840" s="32"/>
      <x:c r="B840"/>
      <x:c r="C840"/>
      <x:c r="D840"/>
      <x:c r="E840" s="20"/>
      <x:c r="F840"/>
      <x:c r="G840"/>
      <x:c r="H840" s="34"/>
      <x:c r="I840" s="34" t="str">
        <x:f>IF(H840="","",IF(G840="역방향",8-H840,H840))</x:f>
      </x:c>
      <x:c r="J840" s="32"/>
      <x:c r="K840" s="32"/>
      <x:c r="L840" s="32"/>
      <x:c r="M840" s="32"/>
    </x:row>
    <x:row r="841">
      <x:c r="A841" s="32"/>
      <x:c r="B841"/>
      <x:c r="C841"/>
      <x:c r="D841"/>
      <x:c r="E841" s="20"/>
      <x:c r="F841"/>
      <x:c r="G841"/>
      <x:c r="H841" s="34"/>
      <x:c r="I841" s="34" t="str">
        <x:f>IF(H841="","",IF(G841="역방향",8-H841,H841))</x:f>
      </x:c>
      <x:c r="J841" s="32"/>
      <x:c r="K841" s="32"/>
      <x:c r="L841" s="32"/>
      <x:c r="M841" s="32"/>
    </x:row>
    <x:row r="842">
      <x:c r="A842" s="32"/>
      <x:c r="B842"/>
      <x:c r="C842"/>
      <x:c r="D842"/>
      <x:c r="E842" s="20"/>
      <x:c r="F842"/>
      <x:c r="G842"/>
      <x:c r="H842" s="34"/>
      <x:c r="I842" s="34" t="str">
        <x:f>IF(H842="","",IF(G842="역방향",8-H842,H842))</x:f>
      </x:c>
      <x:c r="J842" s="32"/>
      <x:c r="K842" s="32"/>
      <x:c r="L842" s="32"/>
      <x:c r="M842" s="32"/>
    </x:row>
    <x:row r="843">
      <x:c r="A843" s="32"/>
      <x:c r="B843"/>
      <x:c r="C843"/>
      <x:c r="D843"/>
      <x:c r="E843" s="20"/>
      <x:c r="F843"/>
      <x:c r="G843"/>
      <x:c r="H843" s="34"/>
      <x:c r="I843" s="34" t="str">
        <x:f>IF(H843="","",IF(G843="역방향",8-H843,H843))</x:f>
      </x:c>
      <x:c r="J843" s="32"/>
      <x:c r="K843" s="32"/>
      <x:c r="L843" s="32"/>
      <x:c r="M843" s="32"/>
    </x:row>
    <x:row r="844">
      <x:c r="A844" s="32"/>
      <x:c r="B844"/>
      <x:c r="C844"/>
      <x:c r="D844"/>
      <x:c r="E844" s="20"/>
      <x:c r="F844"/>
      <x:c r="G844"/>
      <x:c r="H844" s="34"/>
      <x:c r="I844" s="34" t="str">
        <x:f>IF(H844="","",IF(G844="역방향",8-H844,H844))</x:f>
      </x:c>
      <x:c r="J844" s="32"/>
      <x:c r="K844" s="32"/>
      <x:c r="L844" s="32"/>
      <x:c r="M844" s="32"/>
    </x:row>
    <x:row r="845">
      <x:c r="A845" s="32"/>
      <x:c r="B845"/>
      <x:c r="C845"/>
      <x:c r="D845"/>
      <x:c r="E845" s="20"/>
      <x:c r="F845"/>
      <x:c r="G845"/>
      <x:c r="H845" s="34"/>
      <x:c r="I845" s="34" t="str">
        <x:f>IF(H845="","",IF(G845="역방향",8-H845,H845))</x:f>
      </x:c>
      <x:c r="J845" s="32"/>
      <x:c r="K845" s="32"/>
      <x:c r="L845" s="32"/>
      <x:c r="M845" s="32"/>
    </x:row>
    <x:row r="846">
      <x:c r="A846" s="32"/>
      <x:c r="B846"/>
      <x:c r="C846"/>
      <x:c r="D846"/>
      <x:c r="E846" s="20"/>
      <x:c r="F846"/>
      <x:c r="G846"/>
      <x:c r="H846" s="34"/>
      <x:c r="I846" s="34" t="str">
        <x:f>IF(H846="","",IF(G846="역방향",8-H846,H846))</x:f>
      </x:c>
      <x:c r="J846" s="32"/>
      <x:c r="K846" s="32"/>
      <x:c r="L846" s="32"/>
      <x:c r="M846" s="32"/>
    </x:row>
    <x:row r="847">
      <x:c r="A847" s="32"/>
      <x:c r="B847"/>
      <x:c r="C847"/>
      <x:c r="D847"/>
      <x:c r="E847" s="20"/>
      <x:c r="F847"/>
      <x:c r="G847"/>
      <x:c r="H847" s="34"/>
      <x:c r="I847" s="34" t="str">
        <x:f>IF(H847="","",IF(G847="역방향",8-H847,H847))</x:f>
      </x:c>
      <x:c r="J847" s="32"/>
      <x:c r="K847" s="32"/>
      <x:c r="L847" s="32"/>
      <x:c r="M847" s="32"/>
    </x:row>
    <x:row r="848">
      <x:c r="A848" s="32"/>
      <x:c r="B848"/>
      <x:c r="C848"/>
      <x:c r="D848"/>
      <x:c r="E848" s="20"/>
      <x:c r="F848"/>
      <x:c r="G848"/>
      <x:c r="H848" s="34"/>
      <x:c r="I848" s="34" t="str">
        <x:f>IF(H848="","",IF(G848="역방향",8-H848,H848))</x:f>
      </x:c>
      <x:c r="J848" s="32"/>
      <x:c r="K848" s="32"/>
      <x:c r="L848" s="32"/>
      <x:c r="M848" s="32"/>
    </x:row>
    <x:row r="849">
      <x:c r="A849" s="32"/>
      <x:c r="B849"/>
      <x:c r="C849"/>
      <x:c r="D849"/>
      <x:c r="E849" s="20"/>
      <x:c r="F849"/>
      <x:c r="G849"/>
      <x:c r="H849" s="34"/>
      <x:c r="I849" s="34" t="str">
        <x:f>IF(H849="","",IF(G849="역방향",8-H849,H849))</x:f>
      </x:c>
      <x:c r="J849" s="32"/>
      <x:c r="K849" s="32"/>
      <x:c r="L849" s="32"/>
      <x:c r="M849" s="32"/>
    </x:row>
    <x:row r="850">
      <x:c r="A850" s="32"/>
      <x:c r="B850"/>
      <x:c r="C850"/>
      <x:c r="D850"/>
      <x:c r="E850" s="20"/>
      <x:c r="F850"/>
      <x:c r="G850"/>
      <x:c r="H850" s="34"/>
      <x:c r="I850" s="34" t="str">
        <x:f>IF(H850="","",IF(G850="역방향",8-H850,H850))</x:f>
      </x:c>
      <x:c r="J850" s="32"/>
      <x:c r="K850" s="32"/>
      <x:c r="L850" s="32"/>
      <x:c r="M850" s="32"/>
    </x:row>
    <x:row r="851">
      <x:c r="A851" s="32"/>
      <x:c r="B851"/>
      <x:c r="C851"/>
      <x:c r="D851"/>
      <x:c r="E851" s="20"/>
      <x:c r="F851"/>
      <x:c r="G851"/>
      <x:c r="H851" s="34"/>
      <x:c r="I851" s="34" t="str">
        <x:f>IF(H851="","",IF(G851="역방향",8-H851,H851))</x:f>
      </x:c>
      <x:c r="J851" s="32"/>
      <x:c r="K851" s="32"/>
      <x:c r="L851" s="32"/>
      <x:c r="M851" s="32"/>
    </x:row>
    <x:row r="852">
      <x:c r="A852" s="32"/>
      <x:c r="B852"/>
      <x:c r="C852"/>
      <x:c r="D852"/>
      <x:c r="E852" s="20"/>
      <x:c r="F852"/>
      <x:c r="G852"/>
      <x:c r="H852" s="34"/>
      <x:c r="I852" s="34" t="str">
        <x:f>IF(H852="","",IF(G852="역방향",8-H852,H852))</x:f>
      </x:c>
      <x:c r="J852" s="32"/>
      <x:c r="K852" s="32"/>
      <x:c r="L852" s="32"/>
      <x:c r="M852" s="32"/>
    </x:row>
    <x:row r="853">
      <x:c r="A853" s="32"/>
      <x:c r="B853"/>
      <x:c r="C853"/>
      <x:c r="D853"/>
      <x:c r="E853" s="20"/>
      <x:c r="F853"/>
      <x:c r="G853"/>
      <x:c r="H853" s="34"/>
      <x:c r="I853" s="34" t="str">
        <x:f>IF(H853="","",IF(G853="역방향",8-H853,H853))</x:f>
      </x:c>
      <x:c r="J853" s="32"/>
      <x:c r="K853" s="32"/>
      <x:c r="L853" s="32"/>
      <x:c r="M853" s="32"/>
    </x:row>
    <x:row r="854">
      <x:c r="A854" s="32"/>
      <x:c r="B854"/>
      <x:c r="C854"/>
      <x:c r="D854"/>
      <x:c r="E854" s="20"/>
      <x:c r="F854"/>
      <x:c r="G854"/>
      <x:c r="H854" s="34"/>
      <x:c r="I854" s="34" t="str">
        <x:f>IF(H854="","",IF(G854="역방향",8-H854,H854))</x:f>
      </x:c>
      <x:c r="J854" s="32"/>
      <x:c r="K854" s="32"/>
      <x:c r="L854" s="32"/>
      <x:c r="M854" s="32"/>
    </x:row>
    <x:row r="855">
      <x:c r="A855" s="32"/>
      <x:c r="B855"/>
      <x:c r="C855"/>
      <x:c r="D855"/>
      <x:c r="E855" s="20"/>
      <x:c r="F855"/>
      <x:c r="G855"/>
      <x:c r="H855" s="34"/>
      <x:c r="I855" s="34" t="str">
        <x:f>IF(H855="","",IF(G855="역방향",8-H855,H855))</x:f>
      </x:c>
      <x:c r="J855" s="32"/>
      <x:c r="K855" s="32"/>
      <x:c r="L855" s="32"/>
      <x:c r="M855" s="32"/>
    </x:row>
    <x:row r="856">
      <x:c r="A856" s="32"/>
      <x:c r="B856"/>
      <x:c r="C856"/>
      <x:c r="D856"/>
      <x:c r="E856" s="20"/>
      <x:c r="F856"/>
      <x:c r="G856"/>
      <x:c r="H856" s="34"/>
      <x:c r="I856" s="34" t="str">
        <x:f>IF(H856="","",IF(G856="역방향",8-H856,H856))</x:f>
      </x:c>
      <x:c r="J856" s="32"/>
      <x:c r="K856" s="32"/>
      <x:c r="L856" s="32"/>
      <x:c r="M856" s="32"/>
    </x:row>
    <x:row r="857">
      <x:c r="A857" s="32"/>
      <x:c r="B857"/>
      <x:c r="C857"/>
      <x:c r="D857"/>
      <x:c r="E857" s="20"/>
      <x:c r="F857"/>
      <x:c r="G857"/>
      <x:c r="H857" s="34"/>
      <x:c r="I857" s="34" t="str">
        <x:f>IF(H857="","",IF(G857="역방향",8-H857,H857))</x:f>
      </x:c>
      <x:c r="J857" s="32"/>
      <x:c r="K857" s="32"/>
      <x:c r="L857" s="32"/>
      <x:c r="M857" s="32"/>
    </x:row>
    <x:row r="858">
      <x:c r="A858" s="32"/>
      <x:c r="B858"/>
      <x:c r="C858"/>
      <x:c r="D858"/>
      <x:c r="E858" s="20"/>
      <x:c r="F858"/>
      <x:c r="G858"/>
      <x:c r="H858" s="34"/>
      <x:c r="I858" s="34" t="str">
        <x:f>IF(H858="","",IF(G858="역방향",8-H858,H858))</x:f>
      </x:c>
      <x:c r="J858" s="32"/>
      <x:c r="K858" s="32"/>
      <x:c r="L858" s="32"/>
      <x:c r="M858" s="32"/>
    </x:row>
    <x:row r="859">
      <x:c r="A859" s="32"/>
      <x:c r="B859"/>
      <x:c r="C859"/>
      <x:c r="D859"/>
      <x:c r="E859" s="20"/>
      <x:c r="F859"/>
      <x:c r="G859"/>
      <x:c r="H859" s="34"/>
      <x:c r="I859" s="34" t="str">
        <x:f>IF(H859="","",IF(G859="역방향",8-H859,H859))</x:f>
      </x:c>
      <x:c r="J859" s="32"/>
      <x:c r="K859" s="32"/>
      <x:c r="L859" s="32"/>
      <x:c r="M859" s="32"/>
    </x:row>
    <x:row r="860">
      <x:c r="A860" s="32"/>
      <x:c r="B860"/>
      <x:c r="C860"/>
      <x:c r="D860"/>
      <x:c r="E860" s="20"/>
      <x:c r="F860"/>
      <x:c r="G860"/>
      <x:c r="H860" s="34"/>
      <x:c r="I860" s="34" t="str">
        <x:f>IF(H860="","",IF(G860="역방향",8-H860,H860))</x:f>
      </x:c>
      <x:c r="J860" s="32"/>
      <x:c r="K860" s="32"/>
      <x:c r="L860" s="32"/>
      <x:c r="M860" s="32"/>
    </x:row>
    <x:row r="861">
      <x:c r="A861" s="32"/>
      <x:c r="B861"/>
      <x:c r="C861"/>
      <x:c r="D861"/>
      <x:c r="E861" s="20"/>
      <x:c r="F861"/>
      <x:c r="G861"/>
      <x:c r="H861" s="34"/>
      <x:c r="I861" s="34" t="str">
        <x:f>IF(H861="","",IF(G861="역방향",8-H861,H861))</x:f>
      </x:c>
      <x:c r="J861" s="32"/>
      <x:c r="K861" s="32"/>
      <x:c r="L861" s="32"/>
      <x:c r="M861" s="32"/>
    </x:row>
    <x:row r="862">
      <x:c r="A862" s="32"/>
      <x:c r="B862"/>
      <x:c r="C862"/>
      <x:c r="D862"/>
      <x:c r="E862" s="20"/>
      <x:c r="F862"/>
      <x:c r="G862"/>
      <x:c r="H862" s="34"/>
      <x:c r="I862" s="34" t="str">
        <x:f>IF(H862="","",IF(G862="역방향",8-H862,H862))</x:f>
      </x:c>
      <x:c r="J862" s="32"/>
      <x:c r="K862" s="32"/>
      <x:c r="L862" s="32"/>
      <x:c r="M862" s="32"/>
    </x:row>
    <x:row r="863">
      <x:c r="A863" s="32"/>
      <x:c r="B863"/>
      <x:c r="C863"/>
      <x:c r="D863"/>
      <x:c r="E863" s="20"/>
      <x:c r="F863"/>
      <x:c r="G863"/>
      <x:c r="H863" s="34"/>
      <x:c r="I863" s="34" t="str">
        <x:f>IF(H863="","",IF(G863="역방향",8-H863,H863))</x:f>
      </x:c>
      <x:c r="J863" s="32"/>
      <x:c r="K863" s="32"/>
      <x:c r="L863" s="32"/>
      <x:c r="M863" s="32"/>
    </x:row>
    <x:row r="864">
      <x:c r="A864" s="32"/>
      <x:c r="B864"/>
      <x:c r="C864"/>
      <x:c r="D864"/>
      <x:c r="E864" s="20"/>
      <x:c r="F864"/>
      <x:c r="G864"/>
      <x:c r="H864" s="34"/>
      <x:c r="I864" s="34" t="str">
        <x:f>IF(H864="","",IF(G864="역방향",8-H864,H864))</x:f>
      </x:c>
      <x:c r="J864" s="32"/>
      <x:c r="K864" s="32"/>
      <x:c r="L864" s="32"/>
      <x:c r="M864" s="32"/>
    </x:row>
    <x:row r="865">
      <x:c r="A865" s="32"/>
      <x:c r="B865"/>
      <x:c r="C865"/>
      <x:c r="D865"/>
      <x:c r="E865" s="20"/>
      <x:c r="F865"/>
      <x:c r="G865"/>
      <x:c r="H865" s="34"/>
      <x:c r="I865" s="34" t="str">
        <x:f>IF(H865="","",IF(G865="역방향",8-H865,H865))</x:f>
      </x:c>
      <x:c r="J865" s="32"/>
      <x:c r="K865" s="32"/>
      <x:c r="L865" s="32"/>
      <x:c r="M865" s="32"/>
    </x:row>
    <x:row r="866">
      <x:c r="A866" s="32"/>
      <x:c r="B866"/>
      <x:c r="C866"/>
      <x:c r="D866"/>
      <x:c r="E866" s="20"/>
      <x:c r="F866"/>
      <x:c r="G866"/>
      <x:c r="H866" s="34"/>
      <x:c r="I866" s="34" t="str">
        <x:f>IF(H866="","",IF(G866="역방향",8-H866,H866))</x:f>
      </x:c>
      <x:c r="J866" s="32"/>
      <x:c r="K866" s="32"/>
      <x:c r="L866" s="32"/>
      <x:c r="M866" s="32"/>
    </x:row>
    <x:row r="867">
      <x:c r="A867" s="32"/>
      <x:c r="B867"/>
      <x:c r="C867"/>
      <x:c r="D867"/>
      <x:c r="E867" s="20"/>
      <x:c r="F867"/>
      <x:c r="G867"/>
      <x:c r="H867" s="34"/>
      <x:c r="I867" s="34" t="str">
        <x:f>IF(H867="","",IF(G867="역방향",8-H867,H867))</x:f>
      </x:c>
      <x:c r="J867" s="32"/>
      <x:c r="K867" s="32"/>
      <x:c r="L867" s="32"/>
      <x:c r="M867" s="32"/>
    </x:row>
    <x:row r="868">
      <x:c r="A868" s="32"/>
      <x:c r="B868"/>
      <x:c r="C868"/>
      <x:c r="D868"/>
      <x:c r="E868" s="20"/>
      <x:c r="F868"/>
      <x:c r="G868"/>
      <x:c r="H868" s="34"/>
      <x:c r="I868" s="34" t="str">
        <x:f>IF(H868="","",IF(G868="역방향",8-H868,H868))</x:f>
      </x:c>
      <x:c r="J868" s="32"/>
      <x:c r="K868" s="32"/>
      <x:c r="L868" s="32"/>
      <x:c r="M868" s="32"/>
    </x:row>
    <x:row r="869">
      <x:c r="A869" s="32"/>
      <x:c r="B869"/>
      <x:c r="C869"/>
      <x:c r="D869"/>
      <x:c r="E869" s="20"/>
      <x:c r="F869"/>
      <x:c r="G869"/>
      <x:c r="H869" s="34"/>
      <x:c r="I869" s="34" t="str">
        <x:f>IF(H869="","",IF(G869="역방향",8-H869,H869))</x:f>
      </x:c>
      <x:c r="J869" s="32"/>
      <x:c r="K869" s="32"/>
      <x:c r="L869" s="32"/>
      <x:c r="M869" s="32"/>
    </x:row>
    <x:row r="870">
      <x:c r="A870" s="32"/>
      <x:c r="B870"/>
      <x:c r="C870"/>
      <x:c r="D870"/>
      <x:c r="E870" s="20"/>
      <x:c r="F870"/>
      <x:c r="G870"/>
      <x:c r="H870" s="34"/>
      <x:c r="I870" s="34" t="str">
        <x:f>IF(H870="","",IF(G870="역방향",8-H870,H870))</x:f>
      </x:c>
      <x:c r="J870" s="32"/>
      <x:c r="K870" s="32"/>
      <x:c r="L870" s="32"/>
      <x:c r="M870" s="32"/>
    </x:row>
    <x:row r="871">
      <x:c r="A871" s="32"/>
      <x:c r="B871"/>
      <x:c r="C871"/>
      <x:c r="D871"/>
      <x:c r="E871" s="20"/>
      <x:c r="F871"/>
      <x:c r="G871"/>
      <x:c r="H871" s="34"/>
      <x:c r="I871" s="34" t="str">
        <x:f>IF(H871="","",IF(G871="역방향",8-H871,H871))</x:f>
      </x:c>
      <x:c r="J871" s="32"/>
      <x:c r="K871" s="32"/>
      <x:c r="L871" s="32"/>
      <x:c r="M871" s="32"/>
    </x:row>
    <x:row r="872">
      <x:c r="A872" s="32"/>
      <x:c r="B872"/>
      <x:c r="C872"/>
      <x:c r="D872"/>
      <x:c r="E872" s="20"/>
      <x:c r="F872"/>
      <x:c r="G872"/>
      <x:c r="H872" s="34"/>
      <x:c r="I872" s="34" t="str">
        <x:f>IF(H872="","",IF(G872="역방향",8-H872,H872))</x:f>
      </x:c>
      <x:c r="J872" s="32"/>
      <x:c r="K872" s="32"/>
      <x:c r="L872" s="32"/>
      <x:c r="M872" s="32"/>
    </x:row>
    <x:row r="873">
      <x:c r="A873" s="32"/>
      <x:c r="B873"/>
      <x:c r="C873"/>
      <x:c r="D873"/>
      <x:c r="E873" s="20"/>
      <x:c r="F873"/>
      <x:c r="G873"/>
      <x:c r="H873" s="34"/>
      <x:c r="I873" s="34" t="str">
        <x:f>IF(H873="","",IF(G873="역방향",8-H873,H873))</x:f>
      </x:c>
      <x:c r="J873" s="32"/>
      <x:c r="K873" s="32"/>
      <x:c r="L873" s="32"/>
      <x:c r="M873" s="32"/>
    </x:row>
    <x:row r="874">
      <x:c r="A874" s="32"/>
      <x:c r="B874"/>
      <x:c r="C874"/>
      <x:c r="D874"/>
      <x:c r="E874" s="20"/>
      <x:c r="F874"/>
      <x:c r="G874"/>
      <x:c r="H874" s="34"/>
      <x:c r="I874" s="34" t="str">
        <x:f>IF(H874="","",IF(G874="역방향",8-H874,H874))</x:f>
      </x:c>
      <x:c r="J874" s="32"/>
      <x:c r="K874" s="32"/>
      <x:c r="L874" s="32"/>
      <x:c r="M874" s="32"/>
    </x:row>
    <x:row r="875">
      <x:c r="A875" s="32"/>
      <x:c r="B875"/>
      <x:c r="C875"/>
      <x:c r="D875"/>
      <x:c r="E875" s="20"/>
      <x:c r="F875"/>
      <x:c r="G875"/>
      <x:c r="H875" s="34"/>
      <x:c r="I875" s="34" t="str">
        <x:f>IF(H875="","",IF(G875="역방향",8-H875,H875))</x:f>
      </x:c>
      <x:c r="J875" s="32"/>
      <x:c r="K875" s="32"/>
      <x:c r="L875" s="32"/>
      <x:c r="M875" s="32"/>
    </x:row>
    <x:row r="876">
      <x:c r="A876" s="32"/>
      <x:c r="B876"/>
      <x:c r="C876"/>
      <x:c r="D876"/>
      <x:c r="E876" s="20"/>
      <x:c r="F876"/>
      <x:c r="G876"/>
      <x:c r="H876" s="34"/>
      <x:c r="I876" s="34" t="str">
        <x:f>IF(H876="","",IF(G876="역방향",8-H876,H876))</x:f>
      </x:c>
      <x:c r="J876" s="32"/>
      <x:c r="K876" s="32"/>
      <x:c r="L876" s="32"/>
      <x:c r="M876" s="32"/>
    </x:row>
    <x:row r="877">
      <x:c r="A877" s="32"/>
      <x:c r="B877"/>
      <x:c r="C877"/>
      <x:c r="D877"/>
      <x:c r="E877" s="20"/>
      <x:c r="F877"/>
      <x:c r="G877"/>
      <x:c r="H877" s="34"/>
      <x:c r="I877" s="34" t="str">
        <x:f>IF(H877="","",IF(G877="역방향",8-H877,H877))</x:f>
      </x:c>
      <x:c r="J877" s="32"/>
      <x:c r="K877" s="32"/>
      <x:c r="L877" s="32"/>
      <x:c r="M877" s="32"/>
    </x:row>
    <x:row r="878">
      <x:c r="A878" s="32"/>
      <x:c r="B878"/>
      <x:c r="C878"/>
      <x:c r="D878"/>
      <x:c r="E878" s="20"/>
      <x:c r="F878"/>
      <x:c r="G878"/>
      <x:c r="H878" s="34"/>
      <x:c r="I878" s="34" t="str">
        <x:f>IF(H878="","",IF(G878="역방향",8-H878,H878))</x:f>
      </x:c>
      <x:c r="J878" s="32"/>
      <x:c r="K878" s="32"/>
      <x:c r="L878" s="32"/>
      <x:c r="M878" s="32"/>
    </x:row>
    <x:row r="879">
      <x:c r="A879" s="32"/>
      <x:c r="B879"/>
      <x:c r="C879"/>
      <x:c r="D879"/>
      <x:c r="E879" s="20"/>
      <x:c r="F879"/>
      <x:c r="G879"/>
      <x:c r="H879" s="34"/>
      <x:c r="I879" s="34" t="str">
        <x:f>IF(H879="","",IF(G879="역방향",8-H879,H879))</x:f>
      </x:c>
      <x:c r="J879" s="32"/>
      <x:c r="K879" s="32"/>
      <x:c r="L879" s="32"/>
      <x:c r="M879" s="32"/>
    </x:row>
    <x:row r="880">
      <x:c r="A880" s="32"/>
      <x:c r="B880"/>
      <x:c r="C880"/>
      <x:c r="D880"/>
      <x:c r="E880" s="20"/>
      <x:c r="F880"/>
      <x:c r="G880"/>
      <x:c r="H880" s="34"/>
      <x:c r="I880" s="34" t="str">
        <x:f>IF(H880="","",IF(G880="역방향",8-H880,H880))</x:f>
      </x:c>
      <x:c r="J880" s="32"/>
      <x:c r="K880" s="32"/>
      <x:c r="L880" s="32"/>
      <x:c r="M880" s="32"/>
    </x:row>
    <x:row r="881">
      <x:c r="A881" s="32"/>
      <x:c r="B881"/>
      <x:c r="C881"/>
      <x:c r="D881"/>
      <x:c r="E881" s="20"/>
      <x:c r="F881"/>
      <x:c r="G881"/>
      <x:c r="H881" s="34"/>
      <x:c r="I881" s="34" t="str">
        <x:f>IF(H881="","",IF(G881="역방향",8-H881,H881))</x:f>
      </x:c>
      <x:c r="J881" s="32"/>
      <x:c r="K881" s="32"/>
      <x:c r="L881" s="32"/>
      <x:c r="M881" s="32"/>
    </x:row>
    <x:row r="882">
      <x:c r="A882" s="32"/>
      <x:c r="B882"/>
      <x:c r="C882"/>
      <x:c r="D882"/>
      <x:c r="E882" s="20"/>
      <x:c r="F882"/>
      <x:c r="G882"/>
      <x:c r="H882" s="34"/>
      <x:c r="I882" s="34" t="str">
        <x:f>IF(H882="","",IF(G882="역방향",8-H882,H882))</x:f>
      </x:c>
      <x:c r="J882" s="32"/>
      <x:c r="K882" s="32"/>
      <x:c r="L882" s="32"/>
      <x:c r="M882" s="32"/>
    </x:row>
    <x:row r="883">
      <x:c r="A883" s="32"/>
      <x:c r="B883"/>
      <x:c r="C883"/>
      <x:c r="D883"/>
      <x:c r="E883" s="20"/>
      <x:c r="F883"/>
      <x:c r="G883"/>
      <x:c r="H883" s="34"/>
      <x:c r="I883" s="34" t="str">
        <x:f>IF(H883="","",IF(G883="역방향",8-H883,H883))</x:f>
      </x:c>
      <x:c r="J883" s="32"/>
      <x:c r="K883" s="32"/>
      <x:c r="L883" s="32"/>
      <x:c r="M883" s="32"/>
    </x:row>
    <x:row r="884">
      <x:c r="A884" s="32"/>
      <x:c r="B884"/>
      <x:c r="C884"/>
      <x:c r="D884"/>
      <x:c r="E884" s="20"/>
      <x:c r="F884"/>
      <x:c r="G884"/>
      <x:c r="H884" s="34"/>
      <x:c r="I884" s="34" t="str">
        <x:f>IF(H884="","",IF(G884="역방향",8-H884,H884))</x:f>
      </x:c>
      <x:c r="J884" s="32"/>
      <x:c r="K884" s="32"/>
      <x:c r="L884" s="32"/>
      <x:c r="M884" s="32"/>
    </x:row>
    <x:row r="885">
      <x:c r="A885" s="32"/>
      <x:c r="B885"/>
      <x:c r="C885"/>
      <x:c r="D885"/>
      <x:c r="E885" s="20"/>
      <x:c r="F885"/>
      <x:c r="G885"/>
      <x:c r="H885" s="34"/>
      <x:c r="I885" s="34" t="str">
        <x:f>IF(H885="","",IF(G885="역방향",8-H885,H885))</x:f>
      </x:c>
      <x:c r="J885" s="32"/>
      <x:c r="K885" s="32"/>
      <x:c r="L885" s="32"/>
      <x:c r="M885" s="32"/>
    </x:row>
    <x:row r="886">
      <x:c r="A886" s="32"/>
      <x:c r="B886"/>
      <x:c r="C886"/>
      <x:c r="D886"/>
      <x:c r="E886" s="20"/>
      <x:c r="F886"/>
      <x:c r="G886"/>
      <x:c r="H886" s="34"/>
      <x:c r="I886" s="34" t="str">
        <x:f>IF(H886="","",IF(G886="역방향",8-H886,H886))</x:f>
      </x:c>
      <x:c r="J886" s="32"/>
      <x:c r="K886" s="32"/>
      <x:c r="L886" s="32"/>
      <x:c r="M886" s="32"/>
    </x:row>
    <x:row r="887">
      <x:c r="A887" s="32"/>
      <x:c r="B887"/>
      <x:c r="C887"/>
      <x:c r="D887"/>
      <x:c r="E887" s="20"/>
      <x:c r="F887"/>
      <x:c r="G887"/>
      <x:c r="H887" s="34"/>
      <x:c r="I887" s="34" t="str">
        <x:f>IF(H887="","",IF(G887="역방향",8-H887,H887))</x:f>
      </x:c>
      <x:c r="J887" s="32"/>
      <x:c r="K887" s="32"/>
      <x:c r="L887" s="32"/>
      <x:c r="M887" s="32"/>
    </x:row>
    <x:row r="888">
      <x:c r="A888" s="32"/>
      <x:c r="B888"/>
      <x:c r="C888"/>
      <x:c r="D888"/>
      <x:c r="E888" s="20"/>
      <x:c r="F888"/>
      <x:c r="G888"/>
      <x:c r="H888" s="34"/>
      <x:c r="I888" s="34" t="str">
        <x:f>IF(H888="","",IF(G888="역방향",8-H888,H888))</x:f>
      </x:c>
      <x:c r="J888" s="32"/>
      <x:c r="K888" s="32"/>
      <x:c r="L888" s="32"/>
      <x:c r="M888" s="32"/>
    </x:row>
    <x:row r="889">
      <x:c r="A889" s="32"/>
      <x:c r="B889"/>
      <x:c r="C889"/>
      <x:c r="D889"/>
      <x:c r="E889" s="20"/>
      <x:c r="F889"/>
      <x:c r="G889"/>
      <x:c r="H889" s="34"/>
      <x:c r="I889" s="34" t="str">
        <x:f>IF(H889="","",IF(G889="역방향",8-H889,H889))</x:f>
      </x:c>
      <x:c r="J889" s="32"/>
      <x:c r="K889" s="32"/>
      <x:c r="L889" s="32"/>
      <x:c r="M889" s="32"/>
    </x:row>
    <x:row r="890">
      <x:c r="A890" s="32"/>
      <x:c r="B890"/>
      <x:c r="C890"/>
      <x:c r="D890"/>
      <x:c r="E890" s="20"/>
      <x:c r="F890"/>
      <x:c r="G890"/>
      <x:c r="H890" s="34"/>
      <x:c r="I890" s="34" t="str">
        <x:f>IF(H890="","",IF(G890="역방향",8-H890,H890))</x:f>
      </x:c>
      <x:c r="J890" s="32"/>
      <x:c r="K890" s="32"/>
      <x:c r="L890" s="32"/>
      <x:c r="M890" s="32"/>
    </x:row>
    <x:row r="891">
      <x:c r="A891" s="32"/>
      <x:c r="B891"/>
      <x:c r="C891"/>
      <x:c r="D891"/>
      <x:c r="E891" s="20"/>
      <x:c r="F891"/>
      <x:c r="G891"/>
      <x:c r="H891" s="34"/>
      <x:c r="I891" s="34" t="str">
        <x:f>IF(H891="","",IF(G891="역방향",8-H891,H891))</x:f>
      </x:c>
      <x:c r="J891" s="32"/>
      <x:c r="K891" s="32"/>
      <x:c r="L891" s="32"/>
      <x:c r="M891" s="32"/>
    </x:row>
    <x:row r="892">
      <x:c r="A892" s="32"/>
      <x:c r="B892"/>
      <x:c r="C892"/>
      <x:c r="D892"/>
      <x:c r="E892" s="20"/>
      <x:c r="F892"/>
      <x:c r="G892"/>
      <x:c r="H892" s="34"/>
      <x:c r="I892" s="34" t="str">
        <x:f>IF(H892="","",IF(G892="역방향",8-H892,H892))</x:f>
      </x:c>
      <x:c r="J892" s="32"/>
      <x:c r="K892" s="32"/>
      <x:c r="L892" s="32"/>
      <x:c r="M892" s="32"/>
    </x:row>
    <x:row r="893">
      <x:c r="A893" s="32"/>
      <x:c r="B893"/>
      <x:c r="C893"/>
      <x:c r="D893"/>
      <x:c r="E893" s="20"/>
      <x:c r="F893"/>
      <x:c r="G893"/>
      <x:c r="H893" s="34"/>
      <x:c r="I893" s="34" t="str">
        <x:f>IF(H893="","",IF(G893="역방향",8-H893,H893))</x:f>
      </x:c>
      <x:c r="J893" s="32"/>
      <x:c r="K893" s="32"/>
      <x:c r="L893" s="32"/>
      <x:c r="M893" s="32"/>
    </x:row>
    <x:row r="894">
      <x:c r="A894" s="32"/>
      <x:c r="B894"/>
      <x:c r="C894"/>
      <x:c r="D894"/>
      <x:c r="E894" s="20"/>
      <x:c r="F894"/>
      <x:c r="G894"/>
      <x:c r="H894" s="34"/>
      <x:c r="I894" s="34" t="str">
        <x:f>IF(H894="","",IF(G894="역방향",8-H894,H894))</x:f>
      </x:c>
      <x:c r="J894" s="32"/>
      <x:c r="K894" s="32"/>
      <x:c r="L894" s="32"/>
      <x:c r="M894" s="32"/>
    </x:row>
    <x:row r="895">
      <x:c r="A895" s="32"/>
      <x:c r="B895"/>
      <x:c r="C895"/>
      <x:c r="D895"/>
      <x:c r="E895" s="20"/>
      <x:c r="F895"/>
      <x:c r="G895"/>
      <x:c r="H895" s="34"/>
      <x:c r="I895" s="34" t="str">
        <x:f>IF(H895="","",IF(G895="역방향",8-H895,H895))</x:f>
      </x:c>
      <x:c r="J895" s="32"/>
      <x:c r="K895" s="32"/>
      <x:c r="L895" s="32"/>
      <x:c r="M895" s="32"/>
    </x:row>
    <x:row r="896">
      <x:c r="A896" s="32"/>
      <x:c r="B896"/>
      <x:c r="C896"/>
      <x:c r="D896"/>
      <x:c r="E896" s="20"/>
      <x:c r="F896"/>
      <x:c r="G896"/>
      <x:c r="H896" s="34"/>
      <x:c r="I896" s="34" t="str">
        <x:f>IF(H896="","",IF(G896="역방향",8-H896,H896))</x:f>
      </x:c>
      <x:c r="J896" s="32"/>
      <x:c r="K896" s="32"/>
      <x:c r="L896" s="32"/>
      <x:c r="M896" s="32"/>
    </x:row>
    <x:row r="897">
      <x:c r="A897" s="32"/>
      <x:c r="B897"/>
      <x:c r="C897"/>
      <x:c r="D897"/>
      <x:c r="E897" s="20"/>
      <x:c r="F897"/>
      <x:c r="G897"/>
      <x:c r="H897" s="34"/>
      <x:c r="I897" s="34" t="str">
        <x:f>IF(H897="","",IF(G897="역방향",8-H897,H897))</x:f>
      </x:c>
      <x:c r="J897" s="32"/>
      <x:c r="K897" s="32"/>
      <x:c r="L897" s="32"/>
      <x:c r="M897" s="32"/>
    </x:row>
    <x:row r="898">
      <x:c r="A898" s="32"/>
      <x:c r="B898"/>
      <x:c r="C898"/>
      <x:c r="D898"/>
      <x:c r="E898" s="20"/>
      <x:c r="F898"/>
      <x:c r="G898"/>
      <x:c r="H898" s="34"/>
      <x:c r="I898" s="34" t="str">
        <x:f>IF(H898="","",IF(G898="역방향",8-H898,H898))</x:f>
      </x:c>
      <x:c r="J898" s="32"/>
      <x:c r="K898" s="32"/>
      <x:c r="L898" s="32"/>
      <x:c r="M898" s="32"/>
    </x:row>
    <x:row r="899">
      <x:c r="A899" s="32"/>
      <x:c r="B899"/>
      <x:c r="C899"/>
      <x:c r="D899"/>
      <x:c r="E899" s="20"/>
      <x:c r="F899"/>
      <x:c r="G899"/>
      <x:c r="H899" s="34"/>
      <x:c r="I899" s="34" t="str">
        <x:f>IF(H899="","",IF(G899="역방향",8-H899,H899))</x:f>
      </x:c>
      <x:c r="J899" s="32"/>
      <x:c r="K899" s="32"/>
      <x:c r="L899" s="32"/>
      <x:c r="M899" s="32"/>
    </x:row>
    <x:row r="900">
      <x:c r="A900" s="32"/>
      <x:c r="B900"/>
      <x:c r="C900"/>
      <x:c r="D900"/>
      <x:c r="E900" s="20"/>
      <x:c r="F900"/>
      <x:c r="G900"/>
      <x:c r="H900" s="34"/>
      <x:c r="I900" s="34" t="str">
        <x:f>IF(H900="","",IF(G900="역방향",8-H900,H900))</x:f>
      </x:c>
      <x:c r="J900" s="32"/>
      <x:c r="K900" s="32"/>
      <x:c r="L900" s="32"/>
      <x:c r="M900" s="32"/>
    </x:row>
    <x:row r="901">
      <x:c r="A901" s="32"/>
      <x:c r="B901"/>
      <x:c r="C901"/>
      <x:c r="D901"/>
      <x:c r="E901" s="20"/>
      <x:c r="F901"/>
      <x:c r="G901"/>
      <x:c r="H901" s="34"/>
      <x:c r="I901" s="34" t="str">
        <x:f>IF(H901="","",IF(G901="역방향",8-H901,H901))</x:f>
      </x:c>
      <x:c r="J901" s="32"/>
      <x:c r="K901" s="32"/>
      <x:c r="L901" s="32"/>
      <x:c r="M901" s="32"/>
    </x:row>
    <x:row r="902">
      <x:c r="A902" s="32"/>
      <x:c r="B902"/>
      <x:c r="C902"/>
      <x:c r="D902"/>
      <x:c r="E902" s="20"/>
      <x:c r="F902"/>
      <x:c r="G902"/>
      <x:c r="H902" s="34"/>
      <x:c r="I902" s="34" t="str">
        <x:f>IF(H902="","",IF(G902="역방향",8-H902,H902))</x:f>
      </x:c>
      <x:c r="J902" s="32"/>
      <x:c r="K902" s="32"/>
      <x:c r="L902" s="32"/>
      <x:c r="M902" s="32"/>
    </x:row>
    <x:row r="903">
      <x:c r="A903" s="32"/>
      <x:c r="B903"/>
      <x:c r="C903"/>
      <x:c r="D903"/>
      <x:c r="E903" s="20"/>
      <x:c r="F903"/>
      <x:c r="G903"/>
      <x:c r="H903" s="34"/>
      <x:c r="I903" s="34" t="str">
        <x:f>IF(H903="","",IF(G903="역방향",8-H903,H903))</x:f>
      </x:c>
      <x:c r="J903" s="32"/>
      <x:c r="K903" s="32"/>
      <x:c r="L903" s="32"/>
      <x:c r="M903" s="32"/>
    </x:row>
    <x:row r="904">
      <x:c r="A904" s="32"/>
      <x:c r="B904"/>
      <x:c r="C904"/>
      <x:c r="D904"/>
      <x:c r="E904" s="20"/>
      <x:c r="F904"/>
      <x:c r="G904"/>
      <x:c r="H904" s="34"/>
      <x:c r="I904" s="34" t="str">
        <x:f>IF(H904="","",IF(G904="역방향",8-H904,H904))</x:f>
      </x:c>
      <x:c r="J904" s="32"/>
      <x:c r="K904" s="32"/>
      <x:c r="L904" s="32"/>
      <x:c r="M904" s="32"/>
    </x:row>
    <x:row r="905">
      <x:c r="A905" s="32"/>
      <x:c r="B905"/>
      <x:c r="C905"/>
      <x:c r="D905"/>
      <x:c r="E905" s="20"/>
      <x:c r="F905"/>
      <x:c r="G905"/>
      <x:c r="H905" s="34"/>
      <x:c r="I905" s="34" t="str">
        <x:f>IF(H905="","",IF(G905="역방향",8-H905,H905))</x:f>
      </x:c>
      <x:c r="J905" s="32"/>
      <x:c r="K905" s="32"/>
      <x:c r="L905" s="32"/>
      <x:c r="M905" s="32"/>
    </x:row>
    <x:row r="906">
      <x:c r="A906" s="32"/>
      <x:c r="B906"/>
      <x:c r="C906"/>
      <x:c r="D906"/>
      <x:c r="E906" s="20"/>
      <x:c r="F906"/>
      <x:c r="G906"/>
      <x:c r="H906" s="34"/>
      <x:c r="I906" s="34" t="str">
        <x:f>IF(H906="","",IF(G906="역방향",8-H906,H906))</x:f>
      </x:c>
      <x:c r="J906" s="32"/>
      <x:c r="K906" s="32"/>
      <x:c r="L906" s="32"/>
      <x:c r="M906" s="32"/>
    </x:row>
    <x:row r="907">
      <x:c r="A907" s="32"/>
      <x:c r="B907"/>
      <x:c r="C907"/>
      <x:c r="D907"/>
      <x:c r="E907" s="20"/>
      <x:c r="F907"/>
      <x:c r="G907"/>
      <x:c r="H907" s="34"/>
      <x:c r="I907" s="34" t="str">
        <x:f>IF(H907="","",IF(G907="역방향",8-H907,H907))</x:f>
      </x:c>
      <x:c r="J907" s="32"/>
      <x:c r="K907" s="32"/>
      <x:c r="L907" s="32"/>
      <x:c r="M907" s="32"/>
    </x:row>
    <x:row r="908">
      <x:c r="A908" s="32"/>
      <x:c r="B908"/>
      <x:c r="C908"/>
      <x:c r="D908"/>
      <x:c r="E908" s="20"/>
      <x:c r="F908"/>
      <x:c r="G908"/>
      <x:c r="H908" s="34"/>
      <x:c r="I908" s="34" t="str">
        <x:f>IF(H908="","",IF(G908="역방향",8-H908,H908))</x:f>
      </x:c>
      <x:c r="J908" s="32"/>
      <x:c r="K908" s="32"/>
      <x:c r="L908" s="32"/>
      <x:c r="M908" s="32"/>
    </x:row>
    <x:row r="909">
      <x:c r="A909" s="32"/>
      <x:c r="B909"/>
      <x:c r="C909"/>
      <x:c r="D909"/>
      <x:c r="E909" s="20"/>
      <x:c r="F909"/>
      <x:c r="G909"/>
      <x:c r="H909" s="34"/>
      <x:c r="I909" s="34" t="str">
        <x:f>IF(H909="","",IF(G909="역방향",8-H909,H909))</x:f>
      </x:c>
      <x:c r="J909" s="32"/>
      <x:c r="K909" s="32"/>
      <x:c r="L909" s="32"/>
      <x:c r="M909" s="32"/>
    </x:row>
    <x:row r="910">
      <x:c r="A910" s="32"/>
      <x:c r="B910"/>
      <x:c r="C910"/>
      <x:c r="D910"/>
      <x:c r="E910" s="20"/>
      <x:c r="F910"/>
      <x:c r="G910"/>
      <x:c r="H910" s="34"/>
      <x:c r="I910" s="34" t="str">
        <x:f>IF(H910="","",IF(G910="역방향",8-H910,H910))</x:f>
      </x:c>
      <x:c r="J910" s="32"/>
      <x:c r="K910" s="32"/>
      <x:c r="L910" s="32"/>
      <x:c r="M910" s="32"/>
    </x:row>
    <x:row r="911">
      <x:c r="A911" s="32"/>
      <x:c r="B911"/>
      <x:c r="C911"/>
      <x:c r="D911"/>
      <x:c r="E911" s="20"/>
      <x:c r="F911"/>
      <x:c r="G911"/>
      <x:c r="H911" s="34"/>
      <x:c r="I911" s="34" t="str">
        <x:f>IF(H911="","",IF(G911="역방향",8-H911,H911))</x:f>
      </x:c>
      <x:c r="J911" s="32"/>
      <x:c r="K911" s="32"/>
      <x:c r="L911" s="32"/>
      <x:c r="M911" s="32"/>
    </x:row>
    <x:row r="912">
      <x:c r="A912" s="32"/>
      <x:c r="B912"/>
      <x:c r="C912"/>
      <x:c r="D912"/>
      <x:c r="E912" s="20"/>
      <x:c r="F912"/>
      <x:c r="G912"/>
      <x:c r="H912" s="34"/>
      <x:c r="I912" s="34" t="str">
        <x:f>IF(H912="","",IF(G912="역방향",8-H912,H912))</x:f>
      </x:c>
      <x:c r="J912" s="32"/>
      <x:c r="K912" s="32"/>
      <x:c r="L912" s="32"/>
      <x:c r="M912" s="32"/>
    </x:row>
    <x:row r="913">
      <x:c r="A913" s="32"/>
      <x:c r="B913"/>
      <x:c r="C913"/>
      <x:c r="D913"/>
      <x:c r="E913" s="20"/>
      <x:c r="F913"/>
      <x:c r="G913"/>
      <x:c r="H913" s="34"/>
      <x:c r="I913" s="34" t="str">
        <x:f>IF(H913="","",IF(G913="역방향",8-H913,H913))</x:f>
      </x:c>
      <x:c r="J913" s="32"/>
      <x:c r="K913" s="32"/>
      <x:c r="L913" s="32"/>
      <x:c r="M913" s="32"/>
    </x:row>
    <x:row r="914">
      <x:c r="A914" s="32"/>
      <x:c r="B914"/>
      <x:c r="C914"/>
      <x:c r="D914"/>
      <x:c r="E914" s="20"/>
      <x:c r="F914"/>
      <x:c r="G914"/>
      <x:c r="H914" s="34"/>
      <x:c r="I914" s="34" t="str">
        <x:f>IF(H914="","",IF(G914="역방향",8-H914,H914))</x:f>
      </x:c>
      <x:c r="J914" s="32"/>
      <x:c r="K914" s="32"/>
      <x:c r="L914" s="32"/>
      <x:c r="M914" s="32"/>
    </x:row>
    <x:row r="915">
      <x:c r="A915" s="32"/>
      <x:c r="B915"/>
      <x:c r="C915"/>
      <x:c r="D915"/>
      <x:c r="E915" s="20"/>
      <x:c r="F915"/>
      <x:c r="G915"/>
      <x:c r="H915" s="34"/>
      <x:c r="I915" s="34" t="str">
        <x:f>IF(H915="","",IF(G915="역방향",8-H915,H915))</x:f>
      </x:c>
      <x:c r="J915" s="32"/>
      <x:c r="K915" s="32"/>
      <x:c r="L915" s="32"/>
      <x:c r="M915" s="32"/>
    </x:row>
    <x:row r="916">
      <x:c r="A916" s="32"/>
      <x:c r="B916"/>
      <x:c r="C916"/>
      <x:c r="D916"/>
      <x:c r="E916" s="20"/>
      <x:c r="F916"/>
      <x:c r="G916"/>
      <x:c r="H916" s="34"/>
      <x:c r="I916" s="34" t="str">
        <x:f>IF(H916="","",IF(G916="역방향",8-H916,H916))</x:f>
      </x:c>
      <x:c r="J916" s="32"/>
      <x:c r="K916" s="32"/>
      <x:c r="L916" s="32"/>
      <x:c r="M916" s="32"/>
    </x:row>
    <x:row r="917">
      <x:c r="A917" s="32"/>
      <x:c r="B917"/>
      <x:c r="C917"/>
      <x:c r="D917"/>
      <x:c r="E917" s="20"/>
      <x:c r="F917"/>
      <x:c r="G917"/>
      <x:c r="H917" s="34"/>
      <x:c r="I917" s="34" t="str">
        <x:f>IF(H917="","",IF(G917="역방향",8-H917,H917))</x:f>
      </x:c>
      <x:c r="J917" s="32"/>
      <x:c r="K917" s="32"/>
      <x:c r="L917" s="32"/>
      <x:c r="M917" s="32"/>
    </x:row>
    <x:row r="918">
      <x:c r="A918" s="32"/>
      <x:c r="B918"/>
      <x:c r="C918"/>
      <x:c r="D918"/>
      <x:c r="E918" s="20"/>
      <x:c r="F918"/>
      <x:c r="G918"/>
      <x:c r="H918" s="34"/>
      <x:c r="I918" s="34" t="str">
        <x:f>IF(H918="","",IF(G918="역방향",8-H918,H918))</x:f>
      </x:c>
      <x:c r="J918" s="32"/>
      <x:c r="K918" s="32"/>
      <x:c r="L918" s="32"/>
      <x:c r="M918" s="32"/>
    </x:row>
    <x:row r="919">
      <x:c r="A919" s="32"/>
      <x:c r="B919"/>
      <x:c r="C919"/>
      <x:c r="D919"/>
      <x:c r="E919" s="20"/>
      <x:c r="F919"/>
      <x:c r="G919"/>
      <x:c r="H919" s="34"/>
      <x:c r="I919" s="34" t="str">
        <x:f>IF(H919="","",IF(G919="역방향",8-H919,H919))</x:f>
      </x:c>
      <x:c r="J919" s="32"/>
      <x:c r="K919" s="32"/>
      <x:c r="L919" s="32"/>
      <x:c r="M919" s="32"/>
    </x:row>
    <x:row r="920">
      <x:c r="A920" s="32"/>
      <x:c r="B920"/>
      <x:c r="C920"/>
      <x:c r="D920"/>
      <x:c r="E920" s="20"/>
      <x:c r="F920"/>
      <x:c r="G920"/>
      <x:c r="H920" s="34"/>
      <x:c r="I920" s="34" t="str">
        <x:f>IF(H920="","",IF(G920="역방향",8-H920,H920))</x:f>
      </x:c>
      <x:c r="J920" s="32"/>
      <x:c r="K920" s="32"/>
      <x:c r="L920" s="32"/>
      <x:c r="M920" s="32"/>
    </x:row>
    <x:row r="921">
      <x:c r="A921" s="32"/>
      <x:c r="B921"/>
      <x:c r="C921"/>
      <x:c r="D921"/>
      <x:c r="E921" s="20"/>
      <x:c r="F921"/>
      <x:c r="G921"/>
      <x:c r="H921" s="34"/>
      <x:c r="I921" s="34" t="str">
        <x:f>IF(H921="","",IF(G921="역방향",8-H921,H921))</x:f>
      </x:c>
      <x:c r="J921" s="32"/>
      <x:c r="K921" s="32"/>
      <x:c r="L921" s="32"/>
      <x:c r="M921" s="32"/>
    </x:row>
    <x:row r="922">
      <x:c r="A922" s="32"/>
      <x:c r="B922"/>
      <x:c r="C922"/>
      <x:c r="D922"/>
      <x:c r="E922" s="20"/>
      <x:c r="F922"/>
      <x:c r="G922"/>
      <x:c r="H922" s="34"/>
      <x:c r="I922" s="34" t="str">
        <x:f>IF(H922="","",IF(G922="역방향",8-H922,H922))</x:f>
      </x:c>
      <x:c r="J922" s="32"/>
      <x:c r="K922" s="32"/>
      <x:c r="L922" s="32"/>
      <x:c r="M922" s="32"/>
    </x:row>
    <x:row r="923">
      <x:c r="A923" s="32"/>
      <x:c r="B923"/>
      <x:c r="C923"/>
      <x:c r="D923"/>
      <x:c r="E923" s="20"/>
      <x:c r="F923"/>
      <x:c r="G923"/>
      <x:c r="H923" s="34"/>
      <x:c r="I923" s="34" t="str">
        <x:f>IF(H923="","",IF(G923="역방향",8-H923,H923))</x:f>
      </x:c>
      <x:c r="J923" s="32"/>
      <x:c r="K923" s="32"/>
      <x:c r="L923" s="32"/>
      <x:c r="M923" s="32"/>
    </x:row>
    <x:row r="924">
      <x:c r="A924" s="32"/>
      <x:c r="B924"/>
      <x:c r="C924"/>
      <x:c r="D924"/>
      <x:c r="E924" s="20"/>
      <x:c r="F924"/>
      <x:c r="G924"/>
      <x:c r="H924" s="34"/>
      <x:c r="I924" s="34" t="str">
        <x:f>IF(H924="","",IF(G924="역방향",8-H924,H924))</x:f>
      </x:c>
      <x:c r="J924" s="32"/>
      <x:c r="K924" s="32"/>
      <x:c r="L924" s="32"/>
      <x:c r="M924" s="32"/>
    </x:row>
    <x:row r="925">
      <x:c r="A925" s="32"/>
      <x:c r="B925"/>
      <x:c r="C925"/>
      <x:c r="D925"/>
      <x:c r="E925" s="20"/>
      <x:c r="F925"/>
      <x:c r="G925"/>
      <x:c r="H925" s="34"/>
      <x:c r="I925" s="34" t="str">
        <x:f>IF(H925="","",IF(G925="역방향",8-H925,H925))</x:f>
      </x:c>
      <x:c r="J925" s="32"/>
      <x:c r="K925" s="32"/>
      <x:c r="L925" s="32"/>
      <x:c r="M925" s="32"/>
    </x:row>
    <x:row r="926">
      <x:c r="A926" s="32"/>
      <x:c r="B926"/>
      <x:c r="C926"/>
      <x:c r="D926"/>
      <x:c r="E926" s="20"/>
      <x:c r="F926"/>
      <x:c r="G926"/>
      <x:c r="H926" s="34"/>
      <x:c r="I926" s="34" t="str">
        <x:f>IF(H926="","",IF(G926="역방향",8-H926,H926))</x:f>
      </x:c>
      <x:c r="J926" s="32"/>
      <x:c r="K926" s="32"/>
      <x:c r="L926" s="32"/>
      <x:c r="M926" s="32"/>
    </x:row>
    <x:row r="927">
      <x:c r="A927" s="32"/>
      <x:c r="B927"/>
      <x:c r="C927"/>
      <x:c r="D927"/>
      <x:c r="E927" s="20"/>
      <x:c r="F927"/>
      <x:c r="G927"/>
      <x:c r="H927" s="34"/>
      <x:c r="I927" s="34" t="str">
        <x:f>IF(H927="","",IF(G927="역방향",8-H927,H927))</x:f>
      </x:c>
      <x:c r="J927" s="32"/>
      <x:c r="K927" s="32"/>
      <x:c r="L927" s="32"/>
      <x:c r="M927" s="32"/>
    </x:row>
    <x:row r="928">
      <x:c r="A928" s="32"/>
      <x:c r="B928"/>
      <x:c r="C928"/>
      <x:c r="D928"/>
      <x:c r="E928" s="20"/>
      <x:c r="F928"/>
      <x:c r="G928"/>
      <x:c r="H928" s="34"/>
      <x:c r="I928" s="34" t="str">
        <x:f>IF(H928="","",IF(G928="역방향",8-H928,H928))</x:f>
      </x:c>
      <x:c r="J928" s="32"/>
      <x:c r="K928" s="32"/>
      <x:c r="L928" s="32"/>
      <x:c r="M928" s="32"/>
    </x:row>
    <x:row r="929">
      <x:c r="A929" s="32"/>
      <x:c r="B929"/>
      <x:c r="C929"/>
      <x:c r="D929"/>
      <x:c r="E929" s="20"/>
      <x:c r="F929"/>
      <x:c r="G929"/>
      <x:c r="H929" s="34"/>
      <x:c r="I929" s="34" t="str">
        <x:f>IF(H929="","",IF(G929="역방향",8-H929,H929))</x:f>
      </x:c>
      <x:c r="J929" s="32"/>
      <x:c r="K929" s="32"/>
      <x:c r="L929" s="32"/>
      <x:c r="M929" s="32"/>
    </x:row>
    <x:row r="930">
      <x:c r="A930" s="32"/>
      <x:c r="B930"/>
      <x:c r="C930"/>
      <x:c r="D930"/>
      <x:c r="E930" s="20"/>
      <x:c r="F930"/>
      <x:c r="G930"/>
      <x:c r="H930" s="34"/>
      <x:c r="I930" s="34" t="str">
        <x:f>IF(H930="","",IF(G930="역방향",8-H930,H930))</x:f>
      </x:c>
      <x:c r="J930" s="32"/>
      <x:c r="K930" s="32"/>
      <x:c r="L930" s="32"/>
      <x:c r="M930" s="32"/>
    </x:row>
    <x:row r="931">
      <x:c r="A931" s="32"/>
      <x:c r="B931"/>
      <x:c r="C931"/>
      <x:c r="D931"/>
      <x:c r="E931" s="20"/>
      <x:c r="F931"/>
      <x:c r="G931"/>
      <x:c r="H931" s="34"/>
      <x:c r="I931" s="34" t="str">
        <x:f>IF(H931="","",IF(G931="역방향",8-H931,H931))</x:f>
      </x:c>
      <x:c r="J931" s="32"/>
      <x:c r="K931" s="32"/>
      <x:c r="L931" s="32"/>
      <x:c r="M931" s="32"/>
    </x:row>
    <x:row r="932">
      <x:c r="A932" s="32"/>
      <x:c r="B932"/>
      <x:c r="C932"/>
      <x:c r="D932"/>
      <x:c r="E932" s="20"/>
      <x:c r="F932"/>
      <x:c r="G932"/>
      <x:c r="H932" s="34"/>
      <x:c r="I932" s="34" t="str">
        <x:f>IF(H932="","",IF(G932="역방향",8-H932,H932))</x:f>
      </x:c>
      <x:c r="J932" s="32"/>
      <x:c r="K932" s="32"/>
      <x:c r="L932" s="32"/>
      <x:c r="M932" s="32"/>
    </x:row>
    <x:row r="933">
      <x:c r="A933" s="32"/>
      <x:c r="B933"/>
      <x:c r="C933"/>
      <x:c r="D933"/>
      <x:c r="E933" s="20"/>
      <x:c r="F933"/>
      <x:c r="G933"/>
      <x:c r="H933" s="34"/>
      <x:c r="I933" s="34" t="str">
        <x:f>IF(H933="","",IF(G933="역방향",8-H933,H933))</x:f>
      </x:c>
      <x:c r="J933" s="32"/>
      <x:c r="K933" s="32"/>
      <x:c r="L933" s="32"/>
      <x:c r="M933" s="32"/>
    </x:row>
    <x:row r="934">
      <x:c r="A934" s="32"/>
      <x:c r="B934"/>
      <x:c r="C934"/>
      <x:c r="D934"/>
      <x:c r="E934" s="20"/>
      <x:c r="F934"/>
      <x:c r="G934"/>
      <x:c r="H934" s="34"/>
      <x:c r="I934" s="34" t="str">
        <x:f>IF(H934="","",IF(G934="역방향",8-H934,H934))</x:f>
      </x:c>
      <x:c r="J934" s="32"/>
      <x:c r="K934" s="32"/>
      <x:c r="L934" s="32"/>
      <x:c r="M934" s="32"/>
    </x:row>
    <x:row r="935">
      <x:c r="A935" s="32"/>
      <x:c r="B935"/>
      <x:c r="C935"/>
      <x:c r="D935"/>
      <x:c r="E935" s="20"/>
      <x:c r="F935"/>
      <x:c r="G935"/>
      <x:c r="H935" s="34"/>
      <x:c r="I935" s="34" t="str">
        <x:f>IF(H935="","",IF(G935="역방향",8-H935,H935))</x:f>
      </x:c>
      <x:c r="J935" s="32"/>
      <x:c r="K935" s="32"/>
      <x:c r="L935" s="32"/>
      <x:c r="M935" s="32"/>
    </x:row>
    <x:row r="936">
      <x:c r="A936" s="32"/>
      <x:c r="B936"/>
      <x:c r="C936"/>
      <x:c r="D936"/>
      <x:c r="E936" s="20"/>
      <x:c r="F936"/>
      <x:c r="G936"/>
      <x:c r="H936" s="34"/>
      <x:c r="I936" s="34" t="str">
        <x:f>IF(H936="","",IF(G936="역방향",8-H936,H936))</x:f>
      </x:c>
      <x:c r="J936" s="32"/>
      <x:c r="K936" s="32"/>
      <x:c r="L936" s="32"/>
      <x:c r="M936" s="32"/>
    </x:row>
    <x:row r="937">
      <x:c r="A937" s="32"/>
      <x:c r="B937"/>
      <x:c r="C937"/>
      <x:c r="D937"/>
      <x:c r="E937" s="20"/>
      <x:c r="F937"/>
      <x:c r="G937"/>
      <x:c r="H937" s="34"/>
      <x:c r="I937" s="34" t="str">
        <x:f>IF(H937="","",IF(G937="역방향",8-H937,H937))</x:f>
      </x:c>
      <x:c r="J937" s="32"/>
      <x:c r="K937" s="32"/>
      <x:c r="L937" s="32"/>
      <x:c r="M937" s="32"/>
    </x:row>
    <x:row r="938">
      <x:c r="A938" s="32"/>
      <x:c r="B938"/>
      <x:c r="C938"/>
      <x:c r="D938"/>
      <x:c r="E938" s="20"/>
      <x:c r="F938"/>
      <x:c r="G938"/>
      <x:c r="H938" s="34"/>
      <x:c r="I938" s="34" t="str">
        <x:f>IF(H938="","",IF(G938="역방향",8-H938,H938))</x:f>
      </x:c>
      <x:c r="J938" s="32"/>
      <x:c r="K938" s="32"/>
      <x:c r="L938" s="32"/>
      <x:c r="M938" s="32"/>
    </x:row>
    <x:row r="939">
      <x:c r="A939" s="32"/>
      <x:c r="B939"/>
      <x:c r="C939"/>
      <x:c r="D939"/>
      <x:c r="E939" s="20"/>
      <x:c r="F939"/>
      <x:c r="G939"/>
      <x:c r="H939" s="34"/>
      <x:c r="I939" s="34" t="str">
        <x:f>IF(H939="","",IF(G939="역방향",8-H939,H939))</x:f>
      </x:c>
      <x:c r="J939" s="32"/>
      <x:c r="K939" s="32"/>
      <x:c r="L939" s="32"/>
      <x:c r="M939" s="32"/>
    </x:row>
    <x:row r="940">
      <x:c r="A940" s="32"/>
      <x:c r="B940"/>
      <x:c r="C940"/>
      <x:c r="D940"/>
      <x:c r="E940" s="20"/>
      <x:c r="F940"/>
      <x:c r="G940"/>
      <x:c r="H940" s="34"/>
      <x:c r="I940" s="34" t="str">
        <x:f>IF(H940="","",IF(G940="역방향",8-H940,H940))</x:f>
      </x:c>
      <x:c r="J940" s="32"/>
      <x:c r="K940" s="32"/>
      <x:c r="L940" s="32"/>
      <x:c r="M940" s="32"/>
    </x:row>
    <x:row r="941">
      <x:c r="A941" s="32"/>
      <x:c r="B941"/>
      <x:c r="C941"/>
      <x:c r="D941"/>
      <x:c r="E941" s="20"/>
      <x:c r="F941"/>
      <x:c r="G941"/>
      <x:c r="H941" s="34"/>
      <x:c r="I941" s="34" t="str">
        <x:f>IF(H941="","",IF(G941="역방향",8-H941,H941))</x:f>
      </x:c>
      <x:c r="J941" s="32"/>
      <x:c r="K941" s="32"/>
      <x:c r="L941" s="32"/>
      <x:c r="M941" s="32"/>
    </x:row>
    <x:row r="942">
      <x:c r="A942" s="32"/>
      <x:c r="B942"/>
      <x:c r="C942"/>
      <x:c r="D942"/>
      <x:c r="E942" s="20"/>
      <x:c r="F942"/>
      <x:c r="G942"/>
      <x:c r="H942" s="34"/>
      <x:c r="I942" s="34" t="str">
        <x:f>IF(H942="","",IF(G942="역방향",8-H942,H942))</x:f>
      </x:c>
      <x:c r="J942" s="32"/>
      <x:c r="K942" s="32"/>
      <x:c r="L942" s="32"/>
      <x:c r="M942" s="32"/>
    </x:row>
    <x:row r="943">
      <x:c r="A943" s="32"/>
      <x:c r="B943"/>
      <x:c r="C943"/>
      <x:c r="D943"/>
      <x:c r="E943" s="20"/>
      <x:c r="F943"/>
      <x:c r="G943"/>
      <x:c r="H943" s="34"/>
      <x:c r="I943" s="34" t="str">
        <x:f>IF(H943="","",IF(G943="역방향",8-H943,H943))</x:f>
      </x:c>
      <x:c r="J943" s="32"/>
      <x:c r="K943" s="32"/>
      <x:c r="L943" s="32"/>
      <x:c r="M943" s="32"/>
    </x:row>
    <x:row r="944">
      <x:c r="A944" s="32"/>
      <x:c r="B944"/>
      <x:c r="C944"/>
      <x:c r="D944"/>
      <x:c r="E944" s="20"/>
      <x:c r="F944"/>
      <x:c r="G944"/>
      <x:c r="H944" s="34"/>
      <x:c r="I944" s="34" t="str">
        <x:f>IF(H944="","",IF(G944="역방향",8-H944,H944))</x:f>
      </x:c>
      <x:c r="J944" s="32"/>
      <x:c r="K944" s="32"/>
      <x:c r="L944" s="32"/>
      <x:c r="M944" s="32"/>
    </x:row>
    <x:row r="945">
      <x:c r="A945" s="32"/>
      <x:c r="B945"/>
      <x:c r="C945"/>
      <x:c r="D945"/>
      <x:c r="E945" s="20"/>
      <x:c r="F945"/>
      <x:c r="G945"/>
      <x:c r="H945" s="34"/>
      <x:c r="I945" s="34" t="str">
        <x:f>IF(H945="","",IF(G945="역방향",8-H945,H945))</x:f>
      </x:c>
      <x:c r="J945" s="32"/>
      <x:c r="K945" s="32"/>
      <x:c r="L945" s="32"/>
      <x:c r="M945" s="32"/>
    </x:row>
    <x:row r="946">
      <x:c r="A946" s="32"/>
      <x:c r="B946"/>
      <x:c r="C946"/>
      <x:c r="D946"/>
      <x:c r="E946" s="20"/>
      <x:c r="F946"/>
      <x:c r="G946"/>
      <x:c r="H946" s="34"/>
      <x:c r="I946" s="34" t="str">
        <x:f>IF(H946="","",IF(G946="역방향",8-H946,H946))</x:f>
      </x:c>
      <x:c r="J946" s="32"/>
      <x:c r="K946" s="32"/>
      <x:c r="L946" s="32"/>
      <x:c r="M946" s="32"/>
    </x:row>
    <x:row r="947">
      <x:c r="A947" s="32"/>
      <x:c r="B947"/>
      <x:c r="C947"/>
      <x:c r="D947"/>
      <x:c r="E947" s="20"/>
      <x:c r="F947"/>
      <x:c r="G947"/>
      <x:c r="H947" s="34"/>
      <x:c r="I947" s="34" t="str">
        <x:f>IF(H947="","",IF(G947="역방향",8-H947,H947))</x:f>
      </x:c>
      <x:c r="J947" s="32"/>
      <x:c r="K947" s="32"/>
      <x:c r="L947" s="32"/>
      <x:c r="M947" s="32"/>
    </x:row>
    <x:row r="948">
      <x:c r="A948" s="32"/>
      <x:c r="B948"/>
      <x:c r="C948"/>
      <x:c r="D948"/>
      <x:c r="E948" s="20"/>
      <x:c r="F948"/>
      <x:c r="G948"/>
      <x:c r="H948" s="34"/>
      <x:c r="I948" s="34" t="str">
        <x:f>IF(H948="","",IF(G948="역방향",8-H948,H948))</x:f>
      </x:c>
      <x:c r="J948" s="32"/>
      <x:c r="K948" s="32"/>
      <x:c r="L948" s="32"/>
      <x:c r="M948" s="32"/>
    </x:row>
    <x:row r="949">
      <x:c r="A949" s="32"/>
      <x:c r="B949"/>
      <x:c r="C949"/>
      <x:c r="D949"/>
      <x:c r="E949" s="20"/>
      <x:c r="F949"/>
      <x:c r="G949"/>
      <x:c r="H949" s="34"/>
      <x:c r="I949" s="34" t="str">
        <x:f>IF(H949="","",IF(G949="역방향",8-H949,H949))</x:f>
      </x:c>
      <x:c r="J949" s="32"/>
      <x:c r="K949" s="32"/>
      <x:c r="L949" s="32"/>
      <x:c r="M949" s="32"/>
    </x:row>
    <x:row r="950">
      <x:c r="A950" s="32"/>
      <x:c r="B950"/>
      <x:c r="C950"/>
      <x:c r="D950"/>
      <x:c r="E950" s="20"/>
      <x:c r="F950"/>
      <x:c r="G950"/>
      <x:c r="H950" s="34"/>
      <x:c r="I950" s="34" t="str">
        <x:f>IF(H950="","",IF(G950="역방향",8-H950,H950))</x:f>
      </x:c>
      <x:c r="J950" s="32"/>
      <x:c r="K950" s="32"/>
      <x:c r="L950" s="32"/>
      <x:c r="M950" s="32"/>
    </x:row>
    <x:row r="951">
      <x:c r="A951" s="32"/>
      <x:c r="B951"/>
      <x:c r="C951"/>
      <x:c r="D951"/>
      <x:c r="E951" s="20"/>
      <x:c r="F951"/>
      <x:c r="G951"/>
      <x:c r="H951" s="34"/>
      <x:c r="I951" s="34" t="str">
        <x:f>IF(H951="","",IF(G951="역방향",8-H951,H951))</x:f>
      </x:c>
      <x:c r="J951" s="32"/>
      <x:c r="K951" s="32"/>
      <x:c r="L951" s="32"/>
      <x:c r="M951" s="32"/>
    </x:row>
    <x:row r="952">
      <x:c r="A952" s="32"/>
      <x:c r="B952"/>
      <x:c r="C952"/>
      <x:c r="D952"/>
      <x:c r="E952" s="20"/>
      <x:c r="F952"/>
      <x:c r="G952"/>
      <x:c r="H952" s="34"/>
      <x:c r="I952" s="34" t="str">
        <x:f>IF(H952="","",IF(G952="역방향",8-H952,H952))</x:f>
      </x:c>
      <x:c r="J952" s="32"/>
      <x:c r="K952" s="32"/>
      <x:c r="L952" s="32"/>
      <x:c r="M952" s="32"/>
    </x:row>
    <x:row r="953">
      <x:c r="A953" s="32"/>
      <x:c r="B953"/>
      <x:c r="C953"/>
      <x:c r="D953"/>
      <x:c r="E953" s="20"/>
      <x:c r="F953"/>
      <x:c r="G953"/>
      <x:c r="H953" s="34"/>
      <x:c r="I953" s="34" t="str">
        <x:f>IF(H953="","",IF(G953="역방향",8-H953,H953))</x:f>
      </x:c>
      <x:c r="J953" s="32"/>
      <x:c r="K953" s="32"/>
      <x:c r="L953" s="32"/>
      <x:c r="M953" s="32"/>
    </x:row>
    <x:row r="954">
      <x:c r="A954" s="32"/>
      <x:c r="B954"/>
      <x:c r="C954"/>
      <x:c r="D954"/>
      <x:c r="E954" s="20"/>
      <x:c r="F954"/>
      <x:c r="G954"/>
      <x:c r="H954" s="34"/>
      <x:c r="I954" s="34" t="str">
        <x:f>IF(H954="","",IF(G954="역방향",8-H954,H954))</x:f>
      </x:c>
      <x:c r="J954" s="32"/>
      <x:c r="K954" s="32"/>
      <x:c r="L954" s="32"/>
      <x:c r="M954" s="32"/>
    </x:row>
    <x:row r="955">
      <x:c r="A955" s="32"/>
      <x:c r="B955"/>
      <x:c r="C955"/>
      <x:c r="D955"/>
      <x:c r="E955" s="20"/>
      <x:c r="F955"/>
      <x:c r="G955"/>
      <x:c r="H955" s="34"/>
      <x:c r="I955" s="34" t="str">
        <x:f>IF(H955="","",IF(G955="역방향",8-H955,H955))</x:f>
      </x:c>
      <x:c r="J955" s="32"/>
      <x:c r="K955" s="32"/>
      <x:c r="L955" s="32"/>
      <x:c r="M955" s="32"/>
    </x:row>
    <x:row r="956">
      <x:c r="A956" s="32"/>
      <x:c r="B956"/>
      <x:c r="C956"/>
      <x:c r="D956"/>
      <x:c r="E956" s="20"/>
      <x:c r="F956"/>
      <x:c r="G956"/>
      <x:c r="H956" s="34"/>
      <x:c r="I956" s="34" t="str">
        <x:f>IF(H956="","",IF(G956="역방향",8-H956,H956))</x:f>
      </x:c>
      <x:c r="J956" s="32"/>
      <x:c r="K956" s="32"/>
      <x:c r="L956" s="32"/>
      <x:c r="M956" s="32"/>
    </x:row>
    <x:row r="957">
      <x:c r="A957" s="32"/>
      <x:c r="B957"/>
      <x:c r="C957"/>
      <x:c r="D957"/>
      <x:c r="E957" s="20"/>
      <x:c r="F957"/>
      <x:c r="G957"/>
      <x:c r="H957" s="34"/>
      <x:c r="I957" s="34" t="str">
        <x:f>IF(H957="","",IF(G957="역방향",8-H957,H957))</x:f>
      </x:c>
      <x:c r="J957" s="32"/>
      <x:c r="K957" s="32"/>
      <x:c r="L957" s="32"/>
      <x:c r="M957" s="32"/>
    </x:row>
    <x:row r="958">
      <x:c r="A958" s="32"/>
      <x:c r="B958"/>
      <x:c r="C958"/>
      <x:c r="D958"/>
      <x:c r="E958" s="20"/>
      <x:c r="F958"/>
      <x:c r="G958"/>
      <x:c r="H958" s="34"/>
      <x:c r="I958" s="34" t="str">
        <x:f>IF(H958="","",IF(G958="역방향",8-H958,H958))</x:f>
      </x:c>
      <x:c r="J958" s="32"/>
      <x:c r="K958" s="32"/>
      <x:c r="L958" s="32"/>
      <x:c r="M958" s="32"/>
    </x:row>
    <x:row r="959">
      <x:c r="A959" s="32"/>
      <x:c r="B959"/>
      <x:c r="C959"/>
      <x:c r="D959"/>
      <x:c r="E959" s="20"/>
      <x:c r="F959"/>
      <x:c r="G959"/>
      <x:c r="H959" s="34"/>
      <x:c r="I959" s="34" t="str">
        <x:f>IF(H959="","",IF(G959="역방향",8-H959,H959))</x:f>
      </x:c>
      <x:c r="J959" s="32"/>
      <x:c r="K959" s="32"/>
      <x:c r="L959" s="32"/>
      <x:c r="M959" s="32"/>
    </x:row>
    <x:row r="960">
      <x:c r="A960" s="32"/>
      <x:c r="B960"/>
      <x:c r="C960"/>
      <x:c r="D960"/>
      <x:c r="E960" s="20"/>
      <x:c r="F960"/>
      <x:c r="G960"/>
      <x:c r="H960" s="34"/>
      <x:c r="I960" s="34" t="str">
        <x:f>IF(H960="","",IF(G960="역방향",8-H960,H960))</x:f>
      </x:c>
      <x:c r="J960" s="32"/>
      <x:c r="K960" s="32"/>
      <x:c r="L960" s="32"/>
      <x:c r="M960" s="32"/>
    </x:row>
    <x:row r="961">
      <x:c r="A961" s="32"/>
      <x:c r="B961"/>
      <x:c r="C961"/>
      <x:c r="D961"/>
      <x:c r="E961" s="20"/>
      <x:c r="F961"/>
      <x:c r="G961"/>
      <x:c r="H961" s="34"/>
      <x:c r="I961" s="34" t="str">
        <x:f>IF(H961="","",IF(G961="역방향",8-H961,H961))</x:f>
      </x:c>
      <x:c r="J961" s="32"/>
      <x:c r="K961" s="32"/>
      <x:c r="L961" s="32"/>
      <x:c r="M961" s="32"/>
    </x:row>
    <x:row r="962">
      <x:c r="A962" s="32"/>
      <x:c r="B962"/>
      <x:c r="C962"/>
      <x:c r="D962"/>
      <x:c r="E962" s="20"/>
      <x:c r="F962"/>
      <x:c r="G962"/>
      <x:c r="H962" s="34"/>
      <x:c r="I962" s="34" t="str">
        <x:f>IF(H962="","",IF(G962="역방향",8-H962,H962))</x:f>
      </x:c>
      <x:c r="J962" s="32"/>
      <x:c r="K962" s="32"/>
      <x:c r="L962" s="32"/>
      <x:c r="M962" s="32"/>
    </x:row>
    <x:row r="963">
      <x:c r="A963" s="32"/>
      <x:c r="B963"/>
      <x:c r="C963"/>
      <x:c r="D963"/>
      <x:c r="E963" s="20"/>
      <x:c r="F963"/>
      <x:c r="G963"/>
      <x:c r="H963" s="34"/>
      <x:c r="I963" s="34" t="str">
        <x:f>IF(H963="","",IF(G963="역방향",8-H963,H963))</x:f>
      </x:c>
      <x:c r="J963" s="32"/>
      <x:c r="K963" s="32"/>
      <x:c r="L963" s="32"/>
      <x:c r="M963" s="32"/>
    </x:row>
    <x:row r="964">
      <x:c r="A964" s="32"/>
      <x:c r="B964"/>
      <x:c r="C964"/>
      <x:c r="D964"/>
      <x:c r="E964" s="20"/>
      <x:c r="F964"/>
      <x:c r="G964"/>
      <x:c r="H964" s="34"/>
      <x:c r="I964" s="34" t="str">
        <x:f>IF(H964="","",IF(G964="역방향",8-H964,H964))</x:f>
      </x:c>
      <x:c r="J964" s="32"/>
      <x:c r="K964" s="32"/>
      <x:c r="L964" s="32"/>
      <x:c r="M964" s="32"/>
    </x:row>
    <x:row r="965">
      <x:c r="A965" s="32"/>
      <x:c r="B965"/>
      <x:c r="C965"/>
      <x:c r="D965"/>
      <x:c r="E965" s="20"/>
      <x:c r="F965"/>
      <x:c r="G965"/>
      <x:c r="H965" s="34"/>
      <x:c r="I965" s="34" t="str">
        <x:f>IF(H965="","",IF(G965="역방향",8-H965,H965))</x:f>
      </x:c>
      <x:c r="J965" s="32"/>
      <x:c r="K965" s="32"/>
      <x:c r="L965" s="32"/>
      <x:c r="M965" s="32"/>
    </x:row>
    <x:row r="966">
      <x:c r="A966" s="32"/>
      <x:c r="B966"/>
      <x:c r="C966"/>
      <x:c r="D966"/>
      <x:c r="E966" s="20"/>
      <x:c r="F966"/>
      <x:c r="G966"/>
      <x:c r="H966" s="34"/>
      <x:c r="I966" s="34" t="str">
        <x:f>IF(H966="","",IF(G966="역방향",8-H966,H966))</x:f>
      </x:c>
      <x:c r="J966" s="32"/>
      <x:c r="K966" s="32"/>
      <x:c r="L966" s="32"/>
      <x:c r="M966" s="32"/>
    </x:row>
    <x:row r="967">
      <x:c r="A967" s="32"/>
      <x:c r="B967"/>
      <x:c r="C967"/>
      <x:c r="D967"/>
      <x:c r="E967" s="20"/>
      <x:c r="F967"/>
      <x:c r="G967"/>
      <x:c r="H967" s="34"/>
      <x:c r="I967" s="34" t="str">
        <x:f>IF(H967="","",IF(G967="역방향",8-H967,H967))</x:f>
      </x:c>
      <x:c r="J967" s="32"/>
      <x:c r="K967" s="32"/>
      <x:c r="L967" s="32"/>
      <x:c r="M967" s="32"/>
    </x:row>
    <x:row r="968">
      <x:c r="A968" s="32"/>
      <x:c r="B968"/>
      <x:c r="C968"/>
      <x:c r="D968"/>
      <x:c r="E968" s="20"/>
      <x:c r="F968"/>
      <x:c r="G968"/>
      <x:c r="H968" s="34"/>
      <x:c r="I968" s="34" t="str">
        <x:f>IF(H968="","",IF(G968="역방향",8-H968,H968))</x:f>
      </x:c>
      <x:c r="J968" s="32"/>
      <x:c r="K968" s="32"/>
      <x:c r="L968" s="32"/>
      <x:c r="M968" s="32"/>
    </x:row>
    <x:row r="969">
      <x:c r="A969" s="32"/>
      <x:c r="B969"/>
      <x:c r="C969"/>
      <x:c r="D969"/>
      <x:c r="E969" s="20"/>
      <x:c r="F969"/>
      <x:c r="G969"/>
      <x:c r="H969" s="34"/>
      <x:c r="I969" s="34" t="str">
        <x:f>IF(H969="","",IF(G969="역방향",8-H969,H969))</x:f>
      </x:c>
      <x:c r="J969" s="32"/>
      <x:c r="K969" s="32"/>
      <x:c r="L969" s="32"/>
      <x:c r="M969" s="32"/>
    </x:row>
    <x:row r="970">
      <x:c r="A970" s="32"/>
      <x:c r="B970"/>
      <x:c r="C970"/>
      <x:c r="D970"/>
      <x:c r="E970" s="20"/>
      <x:c r="F970"/>
      <x:c r="G970"/>
      <x:c r="H970" s="34"/>
      <x:c r="I970" s="34" t="str">
        <x:f>IF(H970="","",IF(G970="역방향",8-H970,H970))</x:f>
      </x:c>
      <x:c r="J970" s="32"/>
      <x:c r="K970" s="32"/>
      <x:c r="L970" s="32"/>
      <x:c r="M970" s="32"/>
    </x:row>
    <x:row r="971">
      <x:c r="A971" s="32"/>
      <x:c r="B971"/>
      <x:c r="C971"/>
      <x:c r="D971"/>
      <x:c r="E971" s="20"/>
      <x:c r="F971"/>
      <x:c r="G971"/>
      <x:c r="H971" s="34"/>
      <x:c r="I971" s="34" t="str">
        <x:f>IF(H971="","",IF(G971="역방향",8-H971,H971))</x:f>
      </x:c>
      <x:c r="J971" s="32"/>
      <x:c r="K971" s="32"/>
      <x:c r="L971" s="32"/>
      <x:c r="M971" s="32"/>
    </x:row>
    <x:row r="972">
      <x:c r="A972" s="32"/>
      <x:c r="B972"/>
      <x:c r="C972"/>
      <x:c r="D972"/>
      <x:c r="E972" s="20"/>
      <x:c r="F972"/>
      <x:c r="G972"/>
      <x:c r="H972" s="34"/>
      <x:c r="I972" s="34" t="str">
        <x:f>IF(H972="","",IF(G972="역방향",8-H972,H972))</x:f>
      </x:c>
      <x:c r="J972" s="32"/>
      <x:c r="K972" s="32"/>
      <x:c r="L972" s="32"/>
      <x:c r="M972" s="32"/>
    </x:row>
    <x:row r="973">
      <x:c r="A973" s="32"/>
      <x:c r="B973"/>
      <x:c r="C973"/>
      <x:c r="D973"/>
      <x:c r="E973" s="20"/>
      <x:c r="F973"/>
      <x:c r="G973"/>
      <x:c r="H973" s="34"/>
      <x:c r="I973" s="34" t="str">
        <x:f>IF(H973="","",IF(G973="역방향",8-H973,H973))</x:f>
      </x:c>
      <x:c r="J973" s="32"/>
      <x:c r="K973" s="32"/>
      <x:c r="L973" s="32"/>
      <x:c r="M973" s="32"/>
    </x:row>
    <x:row r="974">
      <x:c r="A974" s="32"/>
      <x:c r="B974"/>
      <x:c r="C974"/>
      <x:c r="D974"/>
      <x:c r="E974" s="20"/>
      <x:c r="F974"/>
      <x:c r="G974"/>
      <x:c r="H974" s="34"/>
      <x:c r="I974" s="34" t="str">
        <x:f>IF(H974="","",IF(G974="역방향",8-H974,H974))</x:f>
      </x:c>
      <x:c r="J974" s="32"/>
      <x:c r="K974" s="32"/>
      <x:c r="L974" s="32"/>
      <x:c r="M974" s="32"/>
    </x:row>
    <x:row r="975">
      <x:c r="A975" s="32"/>
      <x:c r="B975"/>
      <x:c r="C975"/>
      <x:c r="D975"/>
      <x:c r="E975" s="20"/>
      <x:c r="F975"/>
      <x:c r="G975"/>
      <x:c r="H975" s="34"/>
      <x:c r="I975" s="34" t="str">
        <x:f>IF(H975="","",IF(G975="역방향",8-H975,H975))</x:f>
      </x:c>
      <x:c r="J975" s="32"/>
      <x:c r="K975" s="32"/>
      <x:c r="L975" s="32"/>
      <x:c r="M975" s="32"/>
    </x:row>
    <x:row r="976">
      <x:c r="A976" s="32"/>
      <x:c r="B976"/>
      <x:c r="C976"/>
      <x:c r="D976"/>
      <x:c r="E976" s="20"/>
      <x:c r="F976"/>
      <x:c r="G976"/>
      <x:c r="H976" s="34"/>
      <x:c r="I976" s="34" t="str">
        <x:f>IF(H976="","",IF(G976="역방향",8-H976,H976))</x:f>
      </x:c>
      <x:c r="J976" s="32"/>
      <x:c r="K976" s="32"/>
      <x:c r="L976" s="32"/>
      <x:c r="M976" s="32"/>
    </x:row>
    <x:row r="977">
      <x:c r="A977" s="32"/>
      <x:c r="B977"/>
      <x:c r="C977"/>
      <x:c r="D977"/>
      <x:c r="E977" s="20"/>
      <x:c r="F977"/>
      <x:c r="G977"/>
      <x:c r="H977" s="34"/>
      <x:c r="I977" s="34" t="str">
        <x:f>IF(H977="","",IF(G977="역방향",8-H977,H977))</x:f>
      </x:c>
      <x:c r="J977" s="32"/>
      <x:c r="K977" s="32"/>
      <x:c r="L977" s="32"/>
      <x:c r="M977" s="32"/>
    </x:row>
    <x:row r="978">
      <x:c r="A978" s="32"/>
      <x:c r="B978"/>
      <x:c r="C978"/>
      <x:c r="D978"/>
      <x:c r="E978" s="20"/>
      <x:c r="F978"/>
      <x:c r="G978"/>
      <x:c r="H978" s="34"/>
      <x:c r="I978" s="34" t="str">
        <x:f>IF(H978="","",IF(G978="역방향",8-H978,H978))</x:f>
      </x:c>
      <x:c r="J978" s="32"/>
      <x:c r="K978" s="32"/>
      <x:c r="L978" s="32"/>
      <x:c r="M978" s="32"/>
    </x:row>
    <x:row r="979">
      <x:c r="A979" s="32"/>
      <x:c r="B979"/>
      <x:c r="C979"/>
      <x:c r="D979"/>
      <x:c r="E979" s="20"/>
      <x:c r="F979"/>
      <x:c r="G979"/>
      <x:c r="H979" s="34"/>
      <x:c r="I979" s="34" t="str">
        <x:f>IF(H979="","",IF(G979="역방향",8-H979,H979))</x:f>
      </x:c>
      <x:c r="J979" s="32"/>
      <x:c r="K979" s="32"/>
      <x:c r="L979" s="32"/>
      <x:c r="M979" s="32"/>
    </x:row>
    <x:row r="980">
      <x:c r="A980" s="32"/>
      <x:c r="B980"/>
      <x:c r="C980"/>
      <x:c r="D980"/>
      <x:c r="E980" s="20"/>
      <x:c r="F980"/>
      <x:c r="G980"/>
      <x:c r="H980" s="34"/>
      <x:c r="I980" s="34" t="str">
        <x:f>IF(H980="","",IF(G980="역방향",8-H980,H980))</x:f>
      </x:c>
      <x:c r="J980" s="32"/>
      <x:c r="K980" s="32"/>
      <x:c r="L980" s="32"/>
      <x:c r="M980" s="32"/>
    </x:row>
    <x:row r="981">
      <x:c r="A981" s="32"/>
      <x:c r="B981"/>
      <x:c r="C981"/>
      <x:c r="D981"/>
      <x:c r="E981" s="20"/>
      <x:c r="F981"/>
      <x:c r="G981"/>
      <x:c r="H981" s="34"/>
      <x:c r="I981" s="34" t="str">
        <x:f>IF(H981="","",IF(G981="역방향",8-H981,H981))</x:f>
      </x:c>
      <x:c r="J981" s="32"/>
      <x:c r="K981" s="32"/>
      <x:c r="L981" s="32"/>
      <x:c r="M981" s="32"/>
    </x:row>
    <x:row r="982">
      <x:c r="A982" s="32"/>
      <x:c r="B982"/>
      <x:c r="C982"/>
      <x:c r="D982"/>
      <x:c r="E982" s="20"/>
      <x:c r="F982"/>
      <x:c r="G982"/>
      <x:c r="H982" s="34"/>
      <x:c r="I982" s="34" t="str">
        <x:f>IF(H982="","",IF(G982="역방향",8-H982,H982))</x:f>
      </x:c>
      <x:c r="J982" s="32"/>
      <x:c r="K982" s="32"/>
      <x:c r="L982" s="32"/>
      <x:c r="M982" s="32"/>
    </x:row>
    <x:row r="983">
      <x:c r="A983" s="32"/>
      <x:c r="B983"/>
      <x:c r="C983"/>
      <x:c r="D983"/>
      <x:c r="E983" s="20"/>
      <x:c r="F983"/>
      <x:c r="G983"/>
      <x:c r="H983" s="34"/>
      <x:c r="I983" s="34" t="str">
        <x:f>IF(H983="","",IF(G983="역방향",8-H983,H983))</x:f>
      </x:c>
      <x:c r="J983" s="32"/>
      <x:c r="K983" s="32"/>
      <x:c r="L983" s="32"/>
      <x:c r="M983" s="32"/>
    </x:row>
    <x:row r="984">
      <x:c r="A984" s="32"/>
      <x:c r="B984"/>
      <x:c r="C984"/>
      <x:c r="D984"/>
      <x:c r="E984" s="20"/>
      <x:c r="F984"/>
      <x:c r="G984"/>
      <x:c r="H984" s="34"/>
      <x:c r="I984" s="34" t="str">
        <x:f>IF(H984="","",IF(G984="역방향",8-H984,H984))</x:f>
      </x:c>
      <x:c r="J984" s="32"/>
      <x:c r="K984" s="32"/>
      <x:c r="L984" s="32"/>
      <x:c r="M984" s="32"/>
    </x:row>
    <x:row r="985">
      <x:c r="A985" s="32"/>
      <x:c r="B985"/>
      <x:c r="C985"/>
      <x:c r="D985"/>
      <x:c r="E985" s="20"/>
      <x:c r="F985"/>
      <x:c r="G985"/>
      <x:c r="H985" s="34"/>
      <x:c r="I985" s="34" t="str">
        <x:f>IF(H985="","",IF(G985="역방향",8-H985,H985))</x:f>
      </x:c>
      <x:c r="J985" s="32"/>
      <x:c r="K985" s="32"/>
      <x:c r="L985" s="32"/>
      <x:c r="M985" s="32"/>
    </x:row>
    <x:row r="986">
      <x:c r="A986" s="32"/>
      <x:c r="B986"/>
      <x:c r="C986"/>
      <x:c r="D986"/>
      <x:c r="E986" s="20"/>
      <x:c r="F986"/>
      <x:c r="G986"/>
      <x:c r="H986" s="34"/>
      <x:c r="I986" s="34" t="str">
        <x:f>IF(H986="","",IF(G986="역방향",8-H986,H986))</x:f>
      </x:c>
      <x:c r="J986" s="32"/>
      <x:c r="K986" s="32"/>
      <x:c r="L986" s="32"/>
      <x:c r="M986" s="32"/>
    </x:row>
    <x:row r="987">
      <x:c r="A987" s="32"/>
      <x:c r="B987"/>
      <x:c r="C987"/>
      <x:c r="D987"/>
      <x:c r="E987" s="20"/>
      <x:c r="F987"/>
      <x:c r="G987"/>
      <x:c r="H987" s="34"/>
      <x:c r="I987" s="34" t="str">
        <x:f>IF(H987="","",IF(G987="역방향",8-H987,H987))</x:f>
      </x:c>
      <x:c r="J987" s="32"/>
      <x:c r="K987" s="32"/>
      <x:c r="L987" s="32"/>
      <x:c r="M987" s="32"/>
    </x:row>
    <x:row r="988">
      <x:c r="A988" s="32"/>
      <x:c r="B988"/>
      <x:c r="C988"/>
      <x:c r="D988"/>
      <x:c r="E988" s="20"/>
      <x:c r="F988"/>
      <x:c r="G988"/>
      <x:c r="H988" s="34"/>
      <x:c r="I988" s="34" t="str">
        <x:f>IF(H988="","",IF(G988="역방향",8-H988,H988))</x:f>
      </x:c>
      <x:c r="J988" s="32"/>
      <x:c r="K988" s="32"/>
      <x:c r="L988" s="32"/>
      <x:c r="M988" s="32"/>
    </x:row>
    <x:row r="989">
      <x:c r="A989" s="32"/>
      <x:c r="B989"/>
      <x:c r="C989"/>
      <x:c r="D989"/>
      <x:c r="E989" s="20"/>
      <x:c r="F989"/>
      <x:c r="G989"/>
      <x:c r="H989" s="34"/>
      <x:c r="I989" s="34" t="str">
        <x:f>IF(H989="","",IF(G989="역방향",8-H989,H989))</x:f>
      </x:c>
      <x:c r="J989" s="32"/>
      <x:c r="K989" s="32"/>
      <x:c r="L989" s="32"/>
      <x:c r="M989" s="32"/>
    </x:row>
    <x:row r="990">
      <x:c r="A990" s="32"/>
      <x:c r="B990"/>
      <x:c r="C990"/>
      <x:c r="D990"/>
      <x:c r="E990" s="20"/>
      <x:c r="F990"/>
      <x:c r="G990"/>
      <x:c r="H990" s="34"/>
      <x:c r="I990" s="34" t="str">
        <x:f>IF(H990="","",IF(G990="역방향",8-H990,H990))</x:f>
      </x:c>
      <x:c r="J990" s="32"/>
      <x:c r="K990" s="32"/>
      <x:c r="L990" s="32"/>
      <x:c r="M990" s="32"/>
    </x:row>
    <x:row r="991">
      <x:c r="A991" s="32"/>
      <x:c r="B991"/>
      <x:c r="C991"/>
      <x:c r="D991"/>
      <x:c r="E991" s="20"/>
      <x:c r="F991"/>
      <x:c r="G991"/>
      <x:c r="H991" s="34"/>
      <x:c r="I991" s="34" t="str">
        <x:f>IF(H991="","",IF(G991="역방향",8-H991,H991))</x:f>
      </x:c>
      <x:c r="J991" s="32"/>
      <x:c r="K991" s="32"/>
      <x:c r="L991" s="32"/>
      <x:c r="M991" s="32"/>
    </x:row>
    <x:row r="992">
      <x:c r="A992" s="32"/>
      <x:c r="B992"/>
      <x:c r="C992"/>
      <x:c r="D992"/>
      <x:c r="E992" s="20"/>
      <x:c r="F992"/>
      <x:c r="G992"/>
      <x:c r="H992" s="34"/>
      <x:c r="I992" s="34" t="str">
        <x:f>IF(H992="","",IF(G992="역방향",8-H992,H992))</x:f>
      </x:c>
      <x:c r="J992" s="32"/>
      <x:c r="K992" s="32"/>
      <x:c r="L992" s="32"/>
      <x:c r="M992" s="32"/>
    </x:row>
    <x:row r="993">
      <x:c r="A993" s="32"/>
      <x:c r="B993"/>
      <x:c r="C993"/>
      <x:c r="D993"/>
      <x:c r="E993" s="20"/>
      <x:c r="F993"/>
      <x:c r="G993"/>
      <x:c r="H993" s="34"/>
      <x:c r="I993" s="34" t="str">
        <x:f>IF(H993="","",IF(G993="역방향",8-H993,H993))</x:f>
      </x:c>
      <x:c r="J993" s="32"/>
      <x:c r="K993" s="32"/>
      <x:c r="L993" s="32"/>
      <x:c r="M993" s="32"/>
    </x:row>
    <x:row r="994">
      <x:c r="A994" s="32"/>
      <x:c r="B994"/>
      <x:c r="C994"/>
      <x:c r="D994"/>
      <x:c r="E994" s="20"/>
      <x:c r="F994"/>
      <x:c r="G994"/>
      <x:c r="H994" s="34"/>
      <x:c r="I994" s="34" t="str">
        <x:f>IF(H994="","",IF(G994="역방향",8-H994,H994))</x:f>
      </x:c>
      <x:c r="J994" s="32"/>
      <x:c r="K994" s="32"/>
      <x:c r="L994" s="32"/>
      <x:c r="M994" s="32"/>
    </x:row>
    <x:row r="995">
      <x:c r="A995" s="32"/>
      <x:c r="B995"/>
      <x:c r="C995"/>
      <x:c r="D995"/>
      <x:c r="E995" s="20"/>
      <x:c r="F995"/>
      <x:c r="G995"/>
      <x:c r="H995" s="34"/>
      <x:c r="I995" s="34" t="str">
        <x:f>IF(H995="","",IF(G995="역방향",8-H995,H995))</x:f>
      </x:c>
      <x:c r="J995" s="32"/>
      <x:c r="K995" s="32"/>
      <x:c r="L995" s="32"/>
      <x:c r="M995" s="32"/>
    </x:row>
    <x:row r="996">
      <x:c r="A996" s="32"/>
      <x:c r="B996"/>
      <x:c r="C996"/>
      <x:c r="D996"/>
      <x:c r="E996" s="20"/>
      <x:c r="F996"/>
      <x:c r="G996"/>
      <x:c r="H996" s="34"/>
      <x:c r="I996" s="34" t="str">
        <x:f>IF(H996="","",IF(G996="역방향",8-H996,H996))</x:f>
      </x:c>
      <x:c r="J996" s="32"/>
      <x:c r="K996" s="32"/>
      <x:c r="L996" s="32"/>
      <x:c r="M996" s="32"/>
    </x:row>
    <x:row r="997">
      <x:c r="A997" s="32"/>
      <x:c r="B997"/>
      <x:c r="C997"/>
      <x:c r="D997"/>
      <x:c r="E997" s="20"/>
      <x:c r="F997"/>
      <x:c r="G997"/>
      <x:c r="H997" s="34"/>
      <x:c r="I997" s="34" t="str">
        <x:f>IF(H997="","",IF(G997="역방향",8-H997,H997))</x:f>
      </x:c>
      <x:c r="J997" s="32"/>
      <x:c r="K997" s="32"/>
      <x:c r="L997" s="32"/>
      <x:c r="M997" s="32"/>
    </x:row>
    <x:row r="998">
      <x:c r="A998" s="32"/>
      <x:c r="B998"/>
      <x:c r="C998"/>
      <x:c r="D998"/>
      <x:c r="E998" s="20"/>
      <x:c r="F998"/>
      <x:c r="G998"/>
      <x:c r="H998" s="34"/>
      <x:c r="I998" s="34" t="str">
        <x:f>IF(H998="","",IF(G998="역방향",8-H998,H998))</x:f>
      </x:c>
      <x:c r="J998" s="32"/>
      <x:c r="K998" s="32"/>
      <x:c r="L998" s="32"/>
      <x:c r="M998" s="32"/>
    </x:row>
    <x:row r="999">
      <x:c r="A999" s="32"/>
      <x:c r="B999"/>
      <x:c r="C999"/>
      <x:c r="D999"/>
      <x:c r="E999" s="20"/>
      <x:c r="F999"/>
      <x:c r="G999"/>
      <x:c r="H999" s="34"/>
      <x:c r="I999" s="34" t="str">
        <x:f>IF(H999="","",IF(G999="역방향",8-H999,H999))</x:f>
      </x:c>
      <x:c r="J999" s="32"/>
      <x:c r="K999" s="32"/>
      <x:c r="L999" s="32"/>
      <x:c r="M999" s="32"/>
    </x:row>
    <x:row r="1000">
      <x:c r="A1000" s="32"/>
      <x:c r="B1000"/>
      <x:c r="C1000"/>
      <x:c r="D1000"/>
      <x:c r="E1000" s="20"/>
      <x:c r="F1000"/>
      <x:c r="G1000"/>
      <x:c r="H1000" s="34"/>
      <x:c r="I1000" s="34" t="str">
        <x:f>IF(H1000="","",IF(G1000="역방향",8-H1000,H1000))</x:f>
      </x:c>
      <x:c r="J1000" s="32"/>
      <x:c r="K1000" s="32"/>
      <x:c r="L1000" s="32"/>
      <x:c r="M1000" s="32"/>
    </x:row>
    <x:row r="1001">
      <x:c r="A1001" s="32"/>
      <x:c r="B1001"/>
      <x:c r="C1001"/>
      <x:c r="D1001"/>
      <x:c r="E1001" s="20"/>
      <x:c r="F1001"/>
      <x:c r="G1001"/>
      <x:c r="H1001" s="34"/>
      <x:c r="I1001" s="34" t="str">
        <x:f>IF(H1001="","",IF(G1001="역방향",8-H1001,H1001))</x:f>
      </x:c>
      <x:c r="J1001" s="32"/>
      <x:c r="K1001" s="32"/>
      <x:c r="L1001" s="32"/>
      <x:c r="M1001" s="32"/>
    </x:row>
  </x:sheetData>
  <x:dataValidations count="7">
    <x:dataValidation type="list" sqref="B2:B1001">
      <x:formula1>"PART1,PART2"</x:formula1>
    </x:dataValidation>
    <x:dataValidation type="list" sqref="G2:G1001">
      <x:formula1>"정방향,역방향"</x:formula1>
    </x:dataValidation>
    <x:dataValidation type="list" sqref="D2:D1001">
      <x:formula1>"A,B,C,"</x:formula1>
    </x:dataValidation>
    <x:dataValidation type="list" sqref="F2:F1001">
      <x:formula1>"자발성/주도성,높은목표/SUPEX,도전/끈기,문제해결,책임감/Ownership,창의/개선,학습/성장,협업/팀워크,사교성,유연성,분석/신중성,현실성/안정추구,수동성/안정추구,정직/윤리,기타"</x:formula1>
    </x:dataValidation>
    <x:dataValidation operator="between" sqref="H2:H1001">
      <x:formula1>1</x:formula1>
      <x:formula2>7</x:formula2>
    </x:dataValidation>
    <x:dataValidation operator="between" sqref="J2:K1001">
      <x:formula1>0</x:formula1>
      <x:formula2>1</x:formula2>
    </x:dataValidation>
    <x:dataValidation operator="between" sqref="M2:M1001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a98985f7135401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</x:cols>
  <x:sheetData>
    <x:row r="1">
      <x:c r="A1" s="38" t="str">
        <x:v>dimension</x:v>
      </x:c>
      <x:c r="B1" s="38" t="str">
        <x:v>유효 문항 수</x:v>
      </x:c>
      <x:c r="C1" s="38" t="str">
        <x:v>보정 평균</x:v>
      </x:c>
      <x:c r="D1" s="38" t="str">
        <x:v>가까움 횟수</x:v>
      </x:c>
      <x:c r="E1" s="38" t="str">
        <x:v>멂 횟수</x:v>
      </x:c>
      <x:c r="F1" s="38" t="str">
        <x:v>평균절대편차</x:v>
      </x:c>
      <x:c r="G1" s="38" t="str">
        <x:v>일관성 점수</x:v>
      </x:c>
      <x:c r="H1" s="38" t="str">
        <x:v>전반 강도</x:v>
      </x:c>
      <x:c r="I1" s="38" t="str">
        <x:v>흔들림</x:v>
      </x:c>
    </x:row>
    <x:row r="2">
      <x:c r="A2" s="20" t="str">
        <x:v>자발성/주도성</x:v>
      </x:c>
      <x:c r="B2" s="20" t="n">
        <x:f>COUNTIF('02_정규화데이터'!$F$2:$F$1001,A2)</x:f>
        <x:v>0</x:v>
      </x:c>
      <x:c r="C2" s="39" t="str">
        <x:f>IF(B2=0,"",SUMIF('02_정규화데이터'!$F$2:$F$1001,A2,'02_정규화데이터'!$I$2:$I$1001)/B2)</x:f>
      </x:c>
      <x:c r="D2" s="39" t="n">
        <x:f>SUMIF('02_정규화데이터'!$F$2:$F$1001,A2,'02_정규화데이터'!$J$2:$J$1001)</x:f>
        <x:v>0</x:v>
      </x:c>
      <x:c r="E2" s="39" t="n">
        <x:f>SUMIF('02_정규화데이터'!$F$2:$F$1001,A2,'02_정규화데이터'!$K$2:$K$1001)</x:f>
        <x:v>0</x:v>
      </x:c>
      <x:c r="F2" s="39" t="str">
        <x:f>IF(B2=0,"",SUMPRODUCT(('02_정규화데이터'!$F$2:$F$1001=A2)*ABS('02_정규화데이터'!$I$2:$I$1001-C2))/B2)</x:f>
      </x:c>
      <x:c r="G2" s="40" t="str">
        <x:f>IF(F2="","",ROUND(MAX(0,100-F2*25),0))</x:f>
      </x:c>
      <x:c r="H2" s="20" t="str">
        <x:f>IF(C2="","",IF(C2&gt;=5.5,"매우 강함",IF(C2&gt;=4.5,"강함",IF(C2&gt;=3.5,"중간",IF(C2&gt;=2.5,"약함","매우 약함")))))</x:f>
      </x:c>
      <x:c r="I2" s="20" t="str">
        <x:f>IF(F2="","",IF(F2&lt;=0.6,"안정",IF(F2&lt;=1.1,"보통","재확인")))</x:f>
      </x:c>
    </x:row>
    <x:row r="3">
      <x:c r="A3" s="20" t="str">
        <x:v>높은목표/SUPEX</x:v>
      </x:c>
      <x:c r="B3" s="20" t="n">
        <x:f>COUNTIF('02_정규화데이터'!$F$2:$F$1001,A3)</x:f>
        <x:v>0</x:v>
      </x:c>
      <x:c r="C3" s="39" t="str">
        <x:f>IF(B3=0,"",SUMIF('02_정규화데이터'!$F$2:$F$1001,A3,'02_정규화데이터'!$I$2:$I$1001)/B3)</x:f>
      </x:c>
      <x:c r="D3" s="39" t="n">
        <x:f>SUMIF('02_정규화데이터'!$F$2:$F$1001,A3,'02_정규화데이터'!$J$2:$J$1001)</x:f>
        <x:v>0</x:v>
      </x:c>
      <x:c r="E3" s="39" t="n">
        <x:f>SUMIF('02_정규화데이터'!$F$2:$F$1001,A3,'02_정규화데이터'!$K$2:$K$1001)</x:f>
        <x:v>0</x:v>
      </x:c>
      <x:c r="F3" s="39" t="str">
        <x:f>IF(B3=0,"",SUMPRODUCT(('02_정규화데이터'!$F$2:$F$1001=A3)*ABS('02_정규화데이터'!$I$2:$I$1001-C3))/B3)</x:f>
      </x:c>
      <x:c r="G3" s="40" t="str">
        <x:f>IF(F3="","",ROUND(MAX(0,100-F3*25),0))</x:f>
      </x:c>
      <x:c r="H3" s="20" t="str">
        <x:f>IF(C3="","",IF(C3&gt;=5.5,"매우 강함",IF(C3&gt;=4.5,"강함",IF(C3&gt;=3.5,"중간",IF(C3&gt;=2.5,"약함","매우 약함")))))</x:f>
      </x:c>
      <x:c r="I3" s="20" t="str">
        <x:f>IF(F3="","",IF(F3&lt;=0.6,"안정",IF(F3&lt;=1.1,"보통","재확인")))</x:f>
      </x:c>
    </x:row>
    <x:row r="4">
      <x:c r="A4" s="20" t="str">
        <x:v>도전/끈기</x:v>
      </x:c>
      <x:c r="B4" s="20" t="n">
        <x:f>COUNTIF('02_정규화데이터'!$F$2:$F$1001,A4)</x:f>
        <x:v>0</x:v>
      </x:c>
      <x:c r="C4" s="39" t="str">
        <x:f>IF(B4=0,"",SUMIF('02_정규화데이터'!$F$2:$F$1001,A4,'02_정규화데이터'!$I$2:$I$1001)/B4)</x:f>
      </x:c>
      <x:c r="D4" s="39" t="n">
        <x:f>SUMIF('02_정규화데이터'!$F$2:$F$1001,A4,'02_정규화데이터'!$J$2:$J$1001)</x:f>
        <x:v>0</x:v>
      </x:c>
      <x:c r="E4" s="39" t="n">
        <x:f>SUMIF('02_정규화데이터'!$F$2:$F$1001,A4,'02_정규화데이터'!$K$2:$K$1001)</x:f>
        <x:v>0</x:v>
      </x:c>
      <x:c r="F4" s="39" t="str">
        <x:f>IF(B4=0,"",SUMPRODUCT(('02_정규화데이터'!$F$2:$F$1001=A4)*ABS('02_정규화데이터'!$I$2:$I$1001-C4))/B4)</x:f>
      </x:c>
      <x:c r="G4" s="40" t="str">
        <x:f>IF(F4="","",ROUND(MAX(0,100-F4*25),0))</x:f>
      </x:c>
      <x:c r="H4" s="20" t="str">
        <x:f>IF(C4="","",IF(C4&gt;=5.5,"매우 강함",IF(C4&gt;=4.5,"강함",IF(C4&gt;=3.5,"중간",IF(C4&gt;=2.5,"약함","매우 약함")))))</x:f>
      </x:c>
      <x:c r="I4" s="20" t="str">
        <x:f>IF(F4="","",IF(F4&lt;=0.6,"안정",IF(F4&lt;=1.1,"보통","재확인")))</x:f>
      </x:c>
    </x:row>
    <x:row r="5">
      <x:c r="A5" s="20" t="str">
        <x:v>문제해결</x:v>
      </x:c>
      <x:c r="B5" s="20" t="n">
        <x:f>COUNTIF('02_정규화데이터'!$F$2:$F$1001,A5)</x:f>
        <x:v>0</x:v>
      </x:c>
      <x:c r="C5" s="39" t="str">
        <x:f>IF(B5=0,"",SUMIF('02_정규화데이터'!$F$2:$F$1001,A5,'02_정규화데이터'!$I$2:$I$1001)/B5)</x:f>
      </x:c>
      <x:c r="D5" s="39" t="n">
        <x:f>SUMIF('02_정규화데이터'!$F$2:$F$1001,A5,'02_정규화데이터'!$J$2:$J$1001)</x:f>
        <x:v>0</x:v>
      </x:c>
      <x:c r="E5" s="39" t="n">
        <x:f>SUMIF('02_정규화데이터'!$F$2:$F$1001,A5,'02_정규화데이터'!$K$2:$K$1001)</x:f>
        <x:v>0</x:v>
      </x:c>
      <x:c r="F5" s="39" t="str">
        <x:f>IF(B5=0,"",SUMPRODUCT(('02_정규화데이터'!$F$2:$F$1001=A5)*ABS('02_정규화데이터'!$I$2:$I$1001-C5))/B5)</x:f>
      </x:c>
      <x:c r="G5" s="40" t="str">
        <x:f>IF(F5="","",ROUND(MAX(0,100-F5*25),0))</x:f>
      </x:c>
      <x:c r="H5" s="20" t="str">
        <x:f>IF(C5="","",IF(C5&gt;=5.5,"매우 강함",IF(C5&gt;=4.5,"강함",IF(C5&gt;=3.5,"중간",IF(C5&gt;=2.5,"약함","매우 약함")))))</x:f>
      </x:c>
      <x:c r="I5" s="20" t="str">
        <x:f>IF(F5="","",IF(F5&lt;=0.6,"안정",IF(F5&lt;=1.1,"보통","재확인")))</x:f>
      </x:c>
    </x:row>
    <x:row r="6">
      <x:c r="A6" s="20" t="str">
        <x:v>책임감/Ownership</x:v>
      </x:c>
      <x:c r="B6" s="20" t="n">
        <x:f>COUNTIF('02_정규화데이터'!$F$2:$F$1001,A6)</x:f>
        <x:v>0</x:v>
      </x:c>
      <x:c r="C6" s="39" t="str">
        <x:f>IF(B6=0,"",SUMIF('02_정규화데이터'!$F$2:$F$1001,A6,'02_정규화데이터'!$I$2:$I$1001)/B6)</x:f>
      </x:c>
      <x:c r="D6" s="39" t="n">
        <x:f>SUMIF('02_정규화데이터'!$F$2:$F$1001,A6,'02_정규화데이터'!$J$2:$J$1001)</x:f>
        <x:v>0</x:v>
      </x:c>
      <x:c r="E6" s="39" t="n">
        <x:f>SUMIF('02_정규화데이터'!$F$2:$F$1001,A6,'02_정규화데이터'!$K$2:$K$1001)</x:f>
        <x:v>0</x:v>
      </x:c>
      <x:c r="F6" s="39" t="str">
        <x:f>IF(B6=0,"",SUMPRODUCT(('02_정규화데이터'!$F$2:$F$1001=A6)*ABS('02_정규화데이터'!$I$2:$I$1001-C6))/B6)</x:f>
      </x:c>
      <x:c r="G6" s="40" t="str">
        <x:f>IF(F6="","",ROUND(MAX(0,100-F6*25),0))</x:f>
      </x:c>
      <x:c r="H6" s="20" t="str">
        <x:f>IF(C6="","",IF(C6&gt;=5.5,"매우 강함",IF(C6&gt;=4.5,"강함",IF(C6&gt;=3.5,"중간",IF(C6&gt;=2.5,"약함","매우 약함")))))</x:f>
      </x:c>
      <x:c r="I6" s="20" t="str">
        <x:f>IF(F6="","",IF(F6&lt;=0.6,"안정",IF(F6&lt;=1.1,"보통","재확인")))</x:f>
      </x:c>
    </x:row>
    <x:row r="7">
      <x:c r="A7" s="20" t="str">
        <x:v>창의/개선</x:v>
      </x:c>
      <x:c r="B7" s="20" t="n">
        <x:f>COUNTIF('02_정규화데이터'!$F$2:$F$1001,A7)</x:f>
        <x:v>0</x:v>
      </x:c>
      <x:c r="C7" s="39" t="str">
        <x:f>IF(B7=0,"",SUMIF('02_정규화데이터'!$F$2:$F$1001,A7,'02_정규화데이터'!$I$2:$I$1001)/B7)</x:f>
      </x:c>
      <x:c r="D7" s="39" t="n">
        <x:f>SUMIF('02_정규화데이터'!$F$2:$F$1001,A7,'02_정규화데이터'!$J$2:$J$1001)</x:f>
        <x:v>0</x:v>
      </x:c>
      <x:c r="E7" s="39" t="n">
        <x:f>SUMIF('02_정규화데이터'!$F$2:$F$1001,A7,'02_정규화데이터'!$K$2:$K$1001)</x:f>
        <x:v>0</x:v>
      </x:c>
      <x:c r="F7" s="39" t="str">
        <x:f>IF(B7=0,"",SUMPRODUCT(('02_정규화데이터'!$F$2:$F$1001=A7)*ABS('02_정규화데이터'!$I$2:$I$1001-C7))/B7)</x:f>
      </x:c>
      <x:c r="G7" s="40" t="str">
        <x:f>IF(F7="","",ROUND(MAX(0,100-F7*25),0))</x:f>
      </x:c>
      <x:c r="H7" s="20" t="str">
        <x:f>IF(C7="","",IF(C7&gt;=5.5,"매우 강함",IF(C7&gt;=4.5,"강함",IF(C7&gt;=3.5,"중간",IF(C7&gt;=2.5,"약함","매우 약함")))))</x:f>
      </x:c>
      <x:c r="I7" s="20" t="str">
        <x:f>IF(F7="","",IF(F7&lt;=0.6,"안정",IF(F7&lt;=1.1,"보통","재확인")))</x:f>
      </x:c>
    </x:row>
    <x:row r="8">
      <x:c r="A8" s="20" t="str">
        <x:v>학습/성장</x:v>
      </x:c>
      <x:c r="B8" s="20" t="n">
        <x:f>COUNTIF('02_정규화데이터'!$F$2:$F$1001,A8)</x:f>
        <x:v>0</x:v>
      </x:c>
      <x:c r="C8" s="39" t="str">
        <x:f>IF(B8=0,"",SUMIF('02_정규화데이터'!$F$2:$F$1001,A8,'02_정규화데이터'!$I$2:$I$1001)/B8)</x:f>
      </x:c>
      <x:c r="D8" s="39" t="n">
        <x:f>SUMIF('02_정규화데이터'!$F$2:$F$1001,A8,'02_정규화데이터'!$J$2:$J$1001)</x:f>
        <x:v>0</x:v>
      </x:c>
      <x:c r="E8" s="39" t="n">
        <x:f>SUMIF('02_정규화데이터'!$F$2:$F$1001,A8,'02_정규화데이터'!$K$2:$K$1001)</x:f>
        <x:v>0</x:v>
      </x:c>
      <x:c r="F8" s="39" t="str">
        <x:f>IF(B8=0,"",SUMPRODUCT(('02_정규화데이터'!$F$2:$F$1001=A8)*ABS('02_정규화데이터'!$I$2:$I$1001-C8))/B8)</x:f>
      </x:c>
      <x:c r="G8" s="40" t="str">
        <x:f>IF(F8="","",ROUND(MAX(0,100-F8*25),0))</x:f>
      </x:c>
      <x:c r="H8" s="20" t="str">
        <x:f>IF(C8="","",IF(C8&gt;=5.5,"매우 강함",IF(C8&gt;=4.5,"강함",IF(C8&gt;=3.5,"중간",IF(C8&gt;=2.5,"약함","매우 약함")))))</x:f>
      </x:c>
      <x:c r="I8" s="20" t="str">
        <x:f>IF(F8="","",IF(F8&lt;=0.6,"안정",IF(F8&lt;=1.1,"보통","재확인")))</x:f>
      </x:c>
    </x:row>
    <x:row r="9">
      <x:c r="A9" s="20" t="str">
        <x:v>협업/팀워크</x:v>
      </x:c>
      <x:c r="B9" s="20" t="n">
        <x:f>COUNTIF('02_정규화데이터'!$F$2:$F$1001,A9)</x:f>
        <x:v>0</x:v>
      </x:c>
      <x:c r="C9" s="39" t="str">
        <x:f>IF(B9=0,"",SUMIF('02_정규화데이터'!$F$2:$F$1001,A9,'02_정규화데이터'!$I$2:$I$1001)/B9)</x:f>
      </x:c>
      <x:c r="D9" s="39" t="n">
        <x:f>SUMIF('02_정규화데이터'!$F$2:$F$1001,A9,'02_정규화데이터'!$J$2:$J$1001)</x:f>
        <x:v>0</x:v>
      </x:c>
      <x:c r="E9" s="39" t="n">
        <x:f>SUMIF('02_정규화데이터'!$F$2:$F$1001,A9,'02_정규화데이터'!$K$2:$K$1001)</x:f>
        <x:v>0</x:v>
      </x:c>
      <x:c r="F9" s="39" t="str">
        <x:f>IF(B9=0,"",SUMPRODUCT(('02_정규화데이터'!$F$2:$F$1001=A9)*ABS('02_정규화데이터'!$I$2:$I$1001-C9))/B9)</x:f>
      </x:c>
      <x:c r="G9" s="40" t="str">
        <x:f>IF(F9="","",ROUND(MAX(0,100-F9*25),0))</x:f>
      </x:c>
      <x:c r="H9" s="20" t="str">
        <x:f>IF(C9="","",IF(C9&gt;=5.5,"매우 강함",IF(C9&gt;=4.5,"강함",IF(C9&gt;=3.5,"중간",IF(C9&gt;=2.5,"약함","매우 약함")))))</x:f>
      </x:c>
      <x:c r="I9" s="20" t="str">
        <x:f>IF(F9="","",IF(F9&lt;=0.6,"안정",IF(F9&lt;=1.1,"보통","재확인")))</x:f>
      </x:c>
    </x:row>
    <x:row r="10">
      <x:c r="A10" s="20" t="str">
        <x:v>사교성</x:v>
      </x:c>
      <x:c r="B10" s="20" t="n">
        <x:f>COUNTIF('02_정규화데이터'!$F$2:$F$1001,A10)</x:f>
        <x:v>0</x:v>
      </x:c>
      <x:c r="C10" s="39" t="str">
        <x:f>IF(B10=0,"",SUMIF('02_정규화데이터'!$F$2:$F$1001,A10,'02_정규화데이터'!$I$2:$I$1001)/B10)</x:f>
      </x:c>
      <x:c r="D10" s="39" t="n">
        <x:f>SUMIF('02_정규화데이터'!$F$2:$F$1001,A10,'02_정규화데이터'!$J$2:$J$1001)</x:f>
        <x:v>0</x:v>
      </x:c>
      <x:c r="E10" s="39" t="n">
        <x:f>SUMIF('02_정규화데이터'!$F$2:$F$1001,A10,'02_정규화데이터'!$K$2:$K$1001)</x:f>
        <x:v>0</x:v>
      </x:c>
      <x:c r="F10" s="39" t="str">
        <x:f>IF(B10=0,"",SUMPRODUCT(('02_정규화데이터'!$F$2:$F$1001=A10)*ABS('02_정규화데이터'!$I$2:$I$1001-C10))/B10)</x:f>
      </x:c>
      <x:c r="G10" s="40" t="str">
        <x:f>IF(F10="","",ROUND(MAX(0,100-F10*25),0))</x:f>
      </x:c>
      <x:c r="H10" s="20" t="str">
        <x:f>IF(C10="","",IF(C10&gt;=5.5,"매우 강함",IF(C10&gt;=4.5,"강함",IF(C10&gt;=3.5,"중간",IF(C10&gt;=2.5,"약함","매우 약함")))))</x:f>
      </x:c>
      <x:c r="I10" s="20" t="str">
        <x:f>IF(F10="","",IF(F10&lt;=0.6,"안정",IF(F10&lt;=1.1,"보통","재확인")))</x:f>
      </x:c>
    </x:row>
    <x:row r="11">
      <x:c r="A11" s="20" t="str">
        <x:v>유연성</x:v>
      </x:c>
      <x:c r="B11" s="20" t="n">
        <x:f>COUNTIF('02_정규화데이터'!$F$2:$F$1001,A11)</x:f>
        <x:v>0</x:v>
      </x:c>
      <x:c r="C11" s="39" t="str">
        <x:f>IF(B11=0,"",SUMIF('02_정규화데이터'!$F$2:$F$1001,A11,'02_정규화데이터'!$I$2:$I$1001)/B11)</x:f>
      </x:c>
      <x:c r="D11" s="39" t="n">
        <x:f>SUMIF('02_정규화데이터'!$F$2:$F$1001,A11,'02_정규화데이터'!$J$2:$J$1001)</x:f>
        <x:v>0</x:v>
      </x:c>
      <x:c r="E11" s="39" t="n">
        <x:f>SUMIF('02_정규화데이터'!$F$2:$F$1001,A11,'02_정규화데이터'!$K$2:$K$1001)</x:f>
        <x:v>0</x:v>
      </x:c>
      <x:c r="F11" s="39" t="str">
        <x:f>IF(B11=0,"",SUMPRODUCT(('02_정규화데이터'!$F$2:$F$1001=A11)*ABS('02_정규화데이터'!$I$2:$I$1001-C11))/B11)</x:f>
      </x:c>
      <x:c r="G11" s="40" t="str">
        <x:f>IF(F11="","",ROUND(MAX(0,100-F11*25),0))</x:f>
      </x:c>
      <x:c r="H11" s="20" t="str">
        <x:f>IF(C11="","",IF(C11&gt;=5.5,"매우 강함",IF(C11&gt;=4.5,"강함",IF(C11&gt;=3.5,"중간",IF(C11&gt;=2.5,"약함","매우 약함")))))</x:f>
      </x:c>
      <x:c r="I11" s="20" t="str">
        <x:f>IF(F11="","",IF(F11&lt;=0.6,"안정",IF(F11&lt;=1.1,"보통","재확인")))</x:f>
      </x:c>
    </x:row>
    <x:row r="12">
      <x:c r="A12" s="20" t="str">
        <x:v>분석/신중성</x:v>
      </x:c>
      <x:c r="B12" s="20" t="n">
        <x:f>COUNTIF('02_정규화데이터'!$F$2:$F$1001,A12)</x:f>
        <x:v>0</x:v>
      </x:c>
      <x:c r="C12" s="39" t="str">
        <x:f>IF(B12=0,"",SUMIF('02_정규화데이터'!$F$2:$F$1001,A12,'02_정규화데이터'!$I$2:$I$1001)/B12)</x:f>
      </x:c>
      <x:c r="D12" s="39" t="n">
        <x:f>SUMIF('02_정규화데이터'!$F$2:$F$1001,A12,'02_정규화데이터'!$J$2:$J$1001)</x:f>
        <x:v>0</x:v>
      </x:c>
      <x:c r="E12" s="39" t="n">
        <x:f>SUMIF('02_정규화데이터'!$F$2:$F$1001,A12,'02_정규화데이터'!$K$2:$K$1001)</x:f>
        <x:v>0</x:v>
      </x:c>
      <x:c r="F12" s="39" t="str">
        <x:f>IF(B12=0,"",SUMPRODUCT(('02_정규화데이터'!$F$2:$F$1001=A12)*ABS('02_정규화데이터'!$I$2:$I$1001-C12))/B12)</x:f>
      </x:c>
      <x:c r="G12" s="40" t="str">
        <x:f>IF(F12="","",ROUND(MAX(0,100-F12*25),0))</x:f>
      </x:c>
      <x:c r="H12" s="20" t="str">
        <x:f>IF(C12="","",IF(C12&gt;=5.5,"매우 강함",IF(C12&gt;=4.5,"강함",IF(C12&gt;=3.5,"중간",IF(C12&gt;=2.5,"약함","매우 약함")))))</x:f>
      </x:c>
      <x:c r="I12" s="20" t="str">
        <x:f>IF(F12="","",IF(F12&lt;=0.6,"안정",IF(F12&lt;=1.1,"보통","재확인")))</x:f>
      </x:c>
    </x:row>
    <x:row r="13">
      <x:c r="A13" s="20" t="str">
        <x:v>현실성/안정추구</x:v>
      </x:c>
      <x:c r="B13" s="20" t="n">
        <x:f>COUNTIF('02_정규화데이터'!$F$2:$F$1001,A13)</x:f>
        <x:v>0</x:v>
      </x:c>
      <x:c r="C13" s="39" t="str">
        <x:f>IF(B13=0,"",SUMIF('02_정규화데이터'!$F$2:$F$1001,A13,'02_정규화데이터'!$I$2:$I$1001)/B13)</x:f>
      </x:c>
      <x:c r="D13" s="39" t="n">
        <x:f>SUMIF('02_정규화데이터'!$F$2:$F$1001,A13,'02_정규화데이터'!$J$2:$J$1001)</x:f>
        <x:v>0</x:v>
      </x:c>
      <x:c r="E13" s="39" t="n">
        <x:f>SUMIF('02_정규화데이터'!$F$2:$F$1001,A13,'02_정규화데이터'!$K$2:$K$1001)</x:f>
        <x:v>0</x:v>
      </x:c>
      <x:c r="F13" s="39" t="str">
        <x:f>IF(B13=0,"",SUMPRODUCT(('02_정규화데이터'!$F$2:$F$1001=A13)*ABS('02_정규화데이터'!$I$2:$I$1001-C13))/B13)</x:f>
      </x:c>
      <x:c r="G13" s="40" t="str">
        <x:f>IF(F13="","",ROUND(MAX(0,100-F13*25),0))</x:f>
      </x:c>
      <x:c r="H13" s="20" t="str">
        <x:f>IF(C13="","",IF(C13&gt;=5.5,"매우 강함",IF(C13&gt;=4.5,"강함",IF(C13&gt;=3.5,"중간",IF(C13&gt;=2.5,"약함","매우 약함")))))</x:f>
      </x:c>
      <x:c r="I13" s="20" t="str">
        <x:f>IF(F13="","",IF(F13&lt;=0.6,"안정",IF(F13&lt;=1.1,"보통","재확인")))</x:f>
      </x:c>
    </x:row>
    <x:row r="14">
      <x:c r="A14" s="20" t="str">
        <x:v>수동성/안정추구</x:v>
      </x:c>
      <x:c r="B14" s="20" t="n">
        <x:f>COUNTIF('02_정규화데이터'!$F$2:$F$1001,A14)</x:f>
        <x:v>0</x:v>
      </x:c>
      <x:c r="C14" s="39" t="str">
        <x:f>IF(B14=0,"",SUMIF('02_정규화데이터'!$F$2:$F$1001,A14,'02_정규화데이터'!$I$2:$I$1001)/B14)</x:f>
      </x:c>
      <x:c r="D14" s="39" t="n">
        <x:f>SUMIF('02_정규화데이터'!$F$2:$F$1001,A14,'02_정규화데이터'!$J$2:$J$1001)</x:f>
        <x:v>0</x:v>
      </x:c>
      <x:c r="E14" s="39" t="n">
        <x:f>SUMIF('02_정규화데이터'!$F$2:$F$1001,A14,'02_정규화데이터'!$K$2:$K$1001)</x:f>
        <x:v>0</x:v>
      </x:c>
      <x:c r="F14" s="39" t="str">
        <x:f>IF(B14=0,"",SUMPRODUCT(('02_정규화데이터'!$F$2:$F$1001=A14)*ABS('02_정규화데이터'!$I$2:$I$1001-C14))/B14)</x:f>
      </x:c>
      <x:c r="G14" s="40" t="str">
        <x:f>IF(F14="","",ROUND(MAX(0,100-F14*25),0))</x:f>
      </x:c>
      <x:c r="H14" s="20" t="str">
        <x:f>IF(C14="","",IF(C14&gt;=5.5,"매우 강함",IF(C14&gt;=4.5,"강함",IF(C14&gt;=3.5,"중간",IF(C14&gt;=2.5,"약함","매우 약함")))))</x:f>
      </x:c>
      <x:c r="I14" s="20" t="str">
        <x:f>IF(F14="","",IF(F14&lt;=0.6,"안정",IF(F14&lt;=1.1,"보통","재확인")))</x:f>
      </x:c>
    </x:row>
    <x:row r="15">
      <x:c r="A15" s="20" t="str">
        <x:v>정직/윤리</x:v>
      </x:c>
      <x:c r="B15" s="20" t="n">
        <x:f>COUNTIF('02_정규화데이터'!$F$2:$F$1001,A15)</x:f>
        <x:v>0</x:v>
      </x:c>
      <x:c r="C15" s="39" t="str">
        <x:f>IF(B15=0,"",SUMIF('02_정규화데이터'!$F$2:$F$1001,A15,'02_정규화데이터'!$I$2:$I$1001)/B15)</x:f>
      </x:c>
      <x:c r="D15" s="39" t="n">
        <x:f>SUMIF('02_정규화데이터'!$F$2:$F$1001,A15,'02_정규화데이터'!$J$2:$J$1001)</x:f>
        <x:v>0</x:v>
      </x:c>
      <x:c r="E15" s="39" t="n">
        <x:f>SUMIF('02_정규화데이터'!$F$2:$F$1001,A15,'02_정규화데이터'!$K$2:$K$1001)</x:f>
        <x:v>0</x:v>
      </x:c>
      <x:c r="F15" s="39" t="str">
        <x:f>IF(B15=0,"",SUMPRODUCT(('02_정규화데이터'!$F$2:$F$1001=A15)*ABS('02_정규화데이터'!$I$2:$I$1001-C15))/B15)</x:f>
      </x:c>
      <x:c r="G15" s="40" t="str">
        <x:f>IF(F15="","",ROUND(MAX(0,100-F15*25),0))</x:f>
      </x:c>
      <x:c r="H15" s="20" t="str">
        <x:f>IF(C15="","",IF(C15&gt;=5.5,"매우 강함",IF(C15&gt;=4.5,"강함",IF(C15&gt;=3.5,"중간",IF(C15&gt;=2.5,"약함","매우 약함")))))</x:f>
      </x:c>
      <x:c r="I15" s="20" t="str">
        <x:f>IF(F15="","",IF(F15&lt;=0.6,"안정",IF(F15&lt;=1.1,"보통","재확인")))</x:f>
      </x:c>
    </x:row>
  </x:sheetData>
  <x:conditionalFormatting sqref="G2:G15">
    <x:cfRule type="colorScale" priority="1">
      <x:colorScale>
        <x:cfvo type="min"/>
        <x:cfvo type="percentile" val="50"/>
        <x:cfvo type="max"/>
        <x:color rgb="FFFCE2E2"/>
        <x:color rgb="FFFFF2CC"/>
        <x:color rgb="FFE7F6EA"/>
      </x:colorScale>
    </x:cfRule>
  </x:conditionalFormatting>
  <x:conditionalFormatting sqref="I2:I15">
    <x:cfRule type="expression" dxfId="0" priority="2">
      <x:formula>I2="재확인"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42" hidden="0" customWidth="1"/>
    <x:col min="4" max="4" width="16" hidden="0" customWidth="1"/>
    <x:col min="5" max="5" width="16" hidden="0" customWidth="1"/>
  </x:cols>
  <x:sheetData>
    <x:row r="1">
      <x:c r="A1" s="28" t="str">
        <x:v>축</x:v>
      </x:c>
      <x:c r="B1" s="28" t="str">
        <x:v>표시명</x:v>
      </x:c>
      <x:c r="C1" s="28" t="str">
        <x:v>포함 dimension</x:v>
      </x:c>
      <x:c r="D1" s="28" t="str">
        <x:v>강도 점수(1~7)</x:v>
      </x:c>
      <x:c r="E1" s="28" t="str">
        <x:v>일관성(0~100)</x:v>
      </x:c>
    </x:row>
    <x:row r="2">
      <x:c r="A2" t="str">
        <x:v>A</x:v>
      </x:c>
      <x:c r="B2" t="str">
        <x:v>높은 목표·도전</x:v>
      </x:c>
      <x:c r="C2" t="str">
        <x:v>높은목표/SUPEX + 도전/끈기</x:v>
      </x:c>
      <x:c r="D2" s="36" t="str">
        <x:f>IF(COUNT('03_가치별분석'!C3:C4)=0,"",AVERAGE('03_가치별분석'!C3:C4))</x:f>
      </x:c>
      <x:c r="E2" s="32" t="str">
        <x:f>IF(COUNT('03_가치별분석'!G3:G4)=0,"",AVERAGE('03_가치별분석'!G3:G4))</x:f>
      </x:c>
    </x:row>
    <x:row r="3">
      <x:c r="A3" t="str">
        <x:v>B</x:v>
      </x:c>
      <x:c r="B3" t="str">
        <x:v>자발성·주도성</x:v>
      </x:c>
      <x:c r="C3" t="str">
        <x:v>자발성/주도성</x:v>
      </x:c>
      <x:c r="D3" s="36" t="str">
        <x:f>'03_가치별분석'!C2</x:f>
      </x:c>
      <x:c r="E3" s="32" t="str">
        <x:f>'03_가치별분석'!G2</x:f>
      </x:c>
    </x:row>
    <x:row r="4">
      <x:c r="A4" t="str">
        <x:v>C</x:v>
      </x:c>
      <x:c r="B4" t="str">
        <x:v>문제해결·분석</x:v>
      </x:c>
      <x:c r="C4" t="str">
        <x:v>문제해결 + 분석/신중성</x:v>
      </x:c>
      <x:c r="D4" s="36" t="str">
        <x:f>IF(COUNT('03_가치별분석'!C5,C12)=0,"",AVERAGE('03_가치별분석'!C5,'03_가치별분석'!C12))</x:f>
      </x:c>
      <x:c r="E4" s="32" t="str">
        <x:f>IF(COUNT('03_가치별분석'!G5,G12)=0,"",AVERAGE('03_가치별분석'!G5,'03_가치별분석'!G12))</x:f>
      </x:c>
    </x:row>
    <x:row r="5">
      <x:c r="A5" t="str">
        <x:v>D</x:v>
      </x:c>
      <x:c r="B5" t="str">
        <x:v>창의·개선</x:v>
      </x:c>
      <x:c r="C5" t="str">
        <x:v>창의/개선</x:v>
      </x:c>
      <x:c r="D5" s="36" t="str">
        <x:f>'03_가치별분석'!C7</x:f>
      </x:c>
      <x:c r="E5" s="32" t="str">
        <x:f>'03_가치별분석'!G7</x:f>
      </x:c>
    </x:row>
    <x:row r="6">
      <x:c r="A6" t="str">
        <x:v>E</x:v>
      </x:c>
      <x:c r="B6" t="str">
        <x:v>책임·윤리</x:v>
      </x:c>
      <x:c r="C6" t="str">
        <x:v>책임감/Ownership + 정직/윤리</x:v>
      </x:c>
      <x:c r="D6" s="36" t="str">
        <x:f>IF(COUNT('03_가치별분석'!C6,C15)=0,"",AVERAGE('03_가치별분석'!C6,'03_가치별분석'!C15))</x:f>
      </x:c>
      <x:c r="E6" s="32" t="str">
        <x:f>IF(COUNT('03_가치별분석'!G6,G15)=0,"",AVERAGE('03_가치별분석'!G6,'03_가치별분석'!G15))</x:f>
      </x:c>
    </x:row>
    <x:row r="7">
      <x:c r="A7" t="str">
        <x:v>F</x:v>
      </x:c>
      <x:c r="B7" t="str">
        <x:v>협업·유연성</x:v>
      </x:c>
      <x:c r="C7" t="str">
        <x:v>협업/팀워크 + 유연성</x:v>
      </x:c>
      <x:c r="D7" s="36" t="str">
        <x:f>IF(COUNT('03_가치별분석'!C9,C11)=0,"",AVERAGE('03_가치별분석'!C9,'03_가치별분석'!C11))</x:f>
      </x:c>
      <x:c r="E7" s="32" t="str">
        <x:f>IF(COUNT('03_가치별분석'!G9,G11)=0,"",AVERAGE('03_가치별분석'!G9,'03_가치별분석'!G11))</x:f>
      </x:c>
    </x:row>
  </x:sheetData>
  <x:conditionalFormatting sqref="D2:D7">
    <x:cfRule type="colorScale" priority="1">
      <x:colorScale>
        <x:cfvo type="min"/>
        <x:cfvo type="percentile" val="50"/>
        <x:cfvo type="max"/>
        <x:color rgb="FFFCE2E2"/>
        <x:color rgb="FFFFF2CC"/>
        <x:color rgb="FFE7F6EA"/>
      </x:colorScale>
    </x:cfRule>
  </x:conditionalFormatting>
  <x:conditionalFormatting sqref="E2:E7">
    <x:cfRule type="colorScale" priority="2">
      <x:colorScale>
        <x:cfvo type="min"/>
        <x:cfvo type="percentile" val="50"/>
        <x:cfvo type="max"/>
        <x:color rgb="FFFCE2E2"/>
        <x:color rgb="FFFFF2CC"/>
        <x:color rgb="FFE7F6EA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15" hidden="0" customWidth="1"/>
    <x:col min="5" max="5" width="15" hidden="0" customWidth="1"/>
    <x:col min="6" max="6" width="15" hidden="0" customWidth="1"/>
    <x:col min="7" max="7" width="12" hidden="0" customWidth="1"/>
    <x:col min="8" max="8" width="48" hidden="0" customWidth="1"/>
  </x:cols>
  <x:sheetData>
    <x:row r="1">
      <x:c r="A1" s="38" t="str">
        <x:v>충돌축</x:v>
      </x:c>
      <x:c r="B1" s="38" t="str">
        <x:v>왼쪽 기준</x:v>
      </x:c>
      <x:c r="C1" s="38" t="str">
        <x:v>오른쪽 기준</x:v>
      </x:c>
      <x:c r="D1" s="38" t="str">
        <x:v>왼쪽 보정점수</x:v>
      </x:c>
      <x:c r="E1" s="38" t="str">
        <x:v>오른쪽 보정점수</x:v>
      </x:c>
      <x:c r="F1" s="38" t="str">
        <x:v>차이</x:v>
      </x:c>
      <x:c r="G1" s="38" t="str">
        <x:v>판정</x:v>
      </x:c>
      <x:c r="H1" s="38" t="str">
        <x:v>대표 문항/메모</x:v>
      </x:c>
    </x:row>
    <x:row r="2">
      <x:c r="A2" s="20" t="str">
        <x:v>높은 목표 vs 현실성</x:v>
      </x:c>
      <x:c r="B2" s="20" t="str">
        <x:v>높은 목표 유지</x:v>
      </x:c>
      <x:c r="C2" s="20" t="str">
        <x:v>현실적 목표 조정</x:v>
      </x:c>
      <x:c r="D2" s="46"/>
      <x:c r="E2" s="46"/>
      <x:c r="F2" s="39" t="str">
        <x:f>IF(OR(D2="",E2=""),"",ABS(D2-E2))</x:f>
      </x:c>
      <x:c r="G2" s="20" t="str">
        <x:f>IF(F2="","",IF(F2&lt;=0.8,"일관",IF(F2&lt;=1.5,"보통","재확인")))</x:f>
      </x:c>
      <x:c r="H2" s="20"/>
    </x:row>
    <x:row r="3">
      <x:c r="A3" s="20" t="str">
        <x:v>도전 vs 안정 추구</x:v>
      </x:c>
      <x:c r="B3" s="20" t="str">
        <x:v>도전/실패 감수</x:v>
      </x:c>
      <x:c r="C3" s="20" t="str">
        <x:v>성공 가능성/안정</x:v>
      </x:c>
      <x:c r="D3" s="46"/>
      <x:c r="E3" s="46"/>
      <x:c r="F3" s="39" t="str">
        <x:f>IF(OR(D3="",E3=""),"",ABS(D3-E3))</x:f>
      </x:c>
      <x:c r="G3" s="20" t="str">
        <x:f>IF(F3="","",IF(F3&lt;=0.8,"일관",IF(F3&lt;=1.5,"보통","재확인")))</x:f>
      </x:c>
      <x:c r="H3" s="20"/>
    </x:row>
    <x:row r="4">
      <x:c r="A4" s="20" t="str">
        <x:v>자발성 vs 지시 대기</x:v>
      </x:c>
      <x:c r="B4" s="20" t="str">
        <x:v>먼저 움직임</x:v>
      </x:c>
      <x:c r="C4" s="20" t="str">
        <x:v>지시 후 움직임</x:v>
      </x:c>
      <x:c r="D4" s="46"/>
      <x:c r="E4" s="46"/>
      <x:c r="F4" s="39" t="str">
        <x:f>IF(OR(D4="",E4=""),"",ABS(D4-E4))</x:f>
      </x:c>
      <x:c r="G4" s="20" t="str">
        <x:f>IF(F4="","",IF(F4&lt;=0.8,"일관",IF(F4&lt;=1.5,"보통","재확인")))</x:f>
      </x:c>
      <x:c r="H4" s="20"/>
    </x:row>
    <x:row r="5">
      <x:c r="A5" s="20" t="str">
        <x:v>지속 개선 vs 효율</x:v>
      </x:c>
      <x:c r="B5" s="20" t="str">
        <x:v>더 나은 방법 탐색</x:v>
      </x:c>
      <x:c r="C5" s="20" t="str">
        <x:v>충분하면 다음 업무</x:v>
      </x:c>
      <x:c r="D5" s="46"/>
      <x:c r="E5" s="46"/>
      <x:c r="F5" s="39" t="str">
        <x:f>IF(OR(D5="",E5=""),"",ABS(D5-E5))</x:f>
      </x:c>
      <x:c r="G5" s="20" t="str">
        <x:f>IF(F5="","",IF(F5&lt;=0.8,"일관",IF(F5&lt;=1.5,"보통","재확인")))</x:f>
      </x:c>
      <x:c r="H5" s="20"/>
    </x:row>
    <x:row r="6">
      <x:c r="A6" s="20" t="str">
        <x:v>직접 해결 vs 전문가 활용</x:v>
      </x:c>
      <x:c r="B6" s="20" t="str">
        <x:v>직접 원인 분석</x:v>
      </x:c>
      <x:c r="C6" s="20" t="str">
        <x:v>경험자 도움 활용</x:v>
      </x:c>
      <x:c r="D6" s="46"/>
      <x:c r="E6" s="46"/>
      <x:c r="F6" s="39" t="str">
        <x:f>IF(OR(D6="",E6=""),"",ABS(D6-E6))</x:f>
      </x:c>
      <x:c r="G6" s="20" t="str">
        <x:f>IF(F6="","",IF(F6&lt;=0.8,"일관",IF(F6&lt;=1.5,"보통","재확인")))</x:f>
      </x:c>
      <x:c r="H6" s="20"/>
    </x:row>
    <x:row r="7">
      <x:c r="A7" s="20" t="str">
        <x:v>Ownership vs 역할 경계</x:v>
      </x:c>
      <x:c r="B7" s="20" t="str">
        <x:v>결과까지 책임</x:v>
      </x:c>
      <x:c r="C7" s="20" t="str">
        <x:v>담당 범위까지만</x:v>
      </x:c>
      <x:c r="D7" s="46"/>
      <x:c r="E7" s="46"/>
      <x:c r="F7" s="39" t="str">
        <x:f>IF(OR(D7="",E7=""),"",ABS(D7-E7))</x:f>
      </x:c>
      <x:c r="G7" s="20" t="str">
        <x:f>IF(F7="","",IF(F7&lt;=0.8,"일관",IF(F7&lt;=1.5,"보통","재확인")))</x:f>
      </x:c>
      <x:c r="H7" s="20"/>
    </x:row>
    <x:row r="8">
      <x:c r="A8" s="20" t="str">
        <x:v>개인 책임 vs 팀 성과</x:v>
      </x:c>
      <x:c r="B8" s="20" t="str">
        <x:v>내 역할 완수</x:v>
      </x:c>
      <x:c r="C8" s="20" t="str">
        <x:v>팀 전체 결과 우선</x:v>
      </x:c>
      <x:c r="D8" s="46"/>
      <x:c r="E8" s="46"/>
      <x:c r="F8" s="39" t="str">
        <x:f>IF(OR(D8="",E8=""),"",ABS(D8-E8))</x:f>
      </x:c>
      <x:c r="G8" s="20" t="str">
        <x:f>IF(F8="","",IF(F8&lt;=0.8,"일관",IF(F8&lt;=1.5,"보통","재확인")))</x:f>
      </x:c>
      <x:c r="H8" s="20"/>
    </x:row>
    <x:row r="9">
      <x:c r="A9" s="20" t="str">
        <x:v>소신 vs 관계 유지</x:v>
      </x:c>
      <x:c r="B9" s="20" t="str">
        <x:v>근거 있는 의견 제시</x:v>
      </x:c>
      <x:c r="C9" s="20" t="str">
        <x:v>관계/분위기 고려</x:v>
      </x:c>
      <x:c r="D9" s="46"/>
      <x:c r="E9" s="46"/>
      <x:c r="F9" s="39" t="str">
        <x:f>IF(OR(D9="",E9=""),"",ABS(D9-E9))</x:f>
      </x:c>
      <x:c r="G9" s="20" t="str">
        <x:f>IF(F9="","",IF(F9&lt;=0.8,"일관",IF(F9&lt;=1.5,"보통","재확인")))</x:f>
      </x:c>
      <x:c r="H9" s="20"/>
    </x:row>
    <x:row r="10">
      <x:c r="A10" s="20" t="str">
        <x:v>계획 준수 vs 유연성</x:v>
      </x:c>
      <x:c r="B10" s="20" t="str">
        <x:v>초기 계획 유지</x:v>
      </x:c>
      <x:c r="C10" s="20" t="str">
        <x:v>상황에 맞게 변경</x:v>
      </x:c>
      <x:c r="D10" s="46"/>
      <x:c r="E10" s="46"/>
      <x:c r="F10" s="39" t="str">
        <x:f>IF(OR(D10="",E10=""),"",ABS(D10-E10))</x:f>
      </x:c>
      <x:c r="G10" s="20" t="str">
        <x:f>IF(F10="","",IF(F10&lt;=0.8,"일관",IF(F10&lt;=1.5,"보통","재확인")))</x:f>
      </x:c>
      <x:c r="H10" s="20"/>
    </x:row>
    <x:row r="11">
      <x:c r="A11" s="20" t="str">
        <x:v>학습 확장 vs 익숙한 업무</x:v>
      </x:c>
      <x:c r="B11" s="20" t="str">
        <x:v>새 분야 학습</x:v>
      </x:c>
      <x:c r="C11" s="20" t="str">
        <x:v>기존 강점 집중</x:v>
      </x:c>
      <x:c r="D11" s="46"/>
      <x:c r="E11" s="46"/>
      <x:c r="F11" s="39" t="str">
        <x:f>IF(OR(D11="",E11=""),"",ABS(D11-E11))</x:f>
      </x:c>
      <x:c r="G11" s="20" t="str">
        <x:f>IF(F11="","",IF(F11&lt;=0.8,"일관",IF(F11&lt;=1.5,"보통","재확인")))</x:f>
      </x:c>
      <x:c r="H11" s="20"/>
    </x:row>
  </x:sheetData>
  <x:conditionalFormatting sqref="G2:G11">
    <x:cfRule type="expression" dxfId="1" priority="1">
      <x:formula>G2="재확인"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12" hidden="0" customWidth="1"/>
    <x:col min="4" max="4" width="52" hidden="0" customWidth="1"/>
    <x:col min="5" max="5" width="12" hidden="0" customWidth="1"/>
    <x:col min="6" max="6" width="12" hidden="0" customWidth="1"/>
    <x:col min="7" max="7" width="5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>
      <x:c r="A1" s="28" t="str">
        <x:v>pair_id</x:v>
      </x:c>
      <x:c r="B1" s="28" t="str">
        <x:v>구간</x:v>
      </x:c>
      <x:c r="C1" s="28" t="str">
        <x:v>문항1 ID</x:v>
      </x:c>
      <x:c r="D1" s="38" t="str">
        <x:v>문항1</x:v>
      </x:c>
      <x:c r="E1" s="38" t="str">
        <x:v>관계</x:v>
      </x:c>
      <x:c r="F1" s="38" t="str">
        <x:v>문항2 ID</x:v>
      </x:c>
      <x:c r="G1" s="38" t="str">
        <x:v>문항2</x:v>
      </x:c>
      <x:c r="H1" s="28" t="str">
        <x:v>보정점수1</x:v>
      </x:c>
      <x:c r="I1" s="28" t="str">
        <x:v>보정점수2</x:v>
      </x:c>
      <x:c r="J1" s="28" t="str">
        <x:v>차이</x:v>
      </x:c>
      <x:c r="K1" s="28" t="str">
        <x:v>검토 플래그</x:v>
      </x:c>
    </x:row>
    <x:row r="2">
      <x:c r="A2"/>
      <x:c r="B2"/>
      <x:c r="C2"/>
      <x:c r="D2"/>
      <x:c r="E2"/>
      <x:c r="F2"/>
      <x:c r="G2"/>
      <x:c r="H2"/>
      <x:c r="I2"/>
      <x:c r="J2" t="str">
        <x:f>IF(OR(H2="",I2=""),"",ABS(H2-I2))</x:f>
      </x:c>
      <x:c r="K2" t="str">
        <x:f>IF(J2="","",IF(J2&lt;=1,"",IF(J2&lt;=2,"재확인","우선검토")))</x:f>
      </x:c>
    </x:row>
    <x:row r="3">
      <x:c r="A3"/>
      <x:c r="B3"/>
      <x:c r="C3"/>
      <x:c r="D3"/>
      <x:c r="E3"/>
      <x:c r="F3"/>
      <x:c r="G3"/>
      <x:c r="H3"/>
      <x:c r="I3"/>
      <x:c r="J3" t="str">
        <x:f>IF(OR(H3="",I3=""),"",ABS(H3-I3))</x:f>
      </x:c>
      <x:c r="K3" t="str">
        <x:f>IF(J3="","",IF(J3&lt;=1,"",IF(J3&lt;=2,"재확인","우선검토")))</x:f>
      </x:c>
    </x:row>
    <x:row r="4">
      <x:c r="A4"/>
      <x:c r="B4"/>
      <x:c r="C4"/>
      <x:c r="D4"/>
      <x:c r="E4"/>
      <x:c r="F4"/>
      <x:c r="G4"/>
      <x:c r="H4"/>
      <x:c r="I4"/>
      <x:c r="J4" t="str">
        <x:f>IF(OR(H4="",I4=""),"",ABS(H4-I4))</x:f>
      </x:c>
      <x:c r="K4" t="str">
        <x:f>IF(J4="","",IF(J4&lt;=1,"",IF(J4&lt;=2,"재확인","우선검토")))</x:f>
      </x:c>
    </x:row>
    <x:row r="5">
      <x:c r="A5"/>
      <x:c r="B5"/>
      <x:c r="C5"/>
      <x:c r="D5"/>
      <x:c r="E5"/>
      <x:c r="F5"/>
      <x:c r="G5"/>
      <x:c r="H5"/>
      <x:c r="I5"/>
      <x:c r="J5" t="str">
        <x:f>IF(OR(H5="",I5=""),"",ABS(H5-I5))</x:f>
      </x:c>
      <x:c r="K5" t="str">
        <x:f>IF(J5="","",IF(J5&lt;=1,"",IF(J5&lt;=2,"재확인","우선검토")))</x:f>
      </x:c>
    </x:row>
    <x:row r="6">
      <x:c r="A6"/>
      <x:c r="B6"/>
      <x:c r="C6"/>
      <x:c r="D6"/>
      <x:c r="E6"/>
      <x:c r="F6"/>
      <x:c r="G6"/>
      <x:c r="H6"/>
      <x:c r="I6"/>
      <x:c r="J6" t="str">
        <x:f>IF(OR(H6="",I6=""),"",ABS(H6-I6))</x:f>
      </x:c>
      <x:c r="K6" t="str">
        <x:f>IF(J6="","",IF(J6&lt;=1,"",IF(J6&lt;=2,"재확인","우선검토")))</x:f>
      </x:c>
    </x:row>
    <x:row r="7">
      <x:c r="A7"/>
      <x:c r="B7"/>
      <x:c r="C7"/>
      <x:c r="D7"/>
      <x:c r="E7"/>
      <x:c r="F7"/>
      <x:c r="G7"/>
      <x:c r="H7"/>
      <x:c r="I7"/>
      <x:c r="J7" t="str">
        <x:f>IF(OR(H7="",I7=""),"",ABS(H7-I7))</x:f>
      </x:c>
      <x:c r="K7" t="str">
        <x:f>IF(J7="","",IF(J7&lt;=1,"",IF(J7&lt;=2,"재확인","우선검토")))</x:f>
      </x:c>
    </x:row>
    <x:row r="8">
      <x:c r="A8"/>
      <x:c r="B8"/>
      <x:c r="C8"/>
      <x:c r="D8"/>
      <x:c r="E8"/>
      <x:c r="F8"/>
      <x:c r="G8"/>
      <x:c r="H8"/>
      <x:c r="I8"/>
      <x:c r="J8" t="str">
        <x:f>IF(OR(H8="",I8=""),"",ABS(H8-I8))</x:f>
      </x:c>
      <x:c r="K8" t="str">
        <x:f>IF(J8="","",IF(J8&lt;=1,"",IF(J8&lt;=2,"재확인","우선검토")))</x:f>
      </x:c>
    </x:row>
    <x:row r="9">
      <x:c r="A9"/>
      <x:c r="B9"/>
      <x:c r="C9"/>
      <x:c r="D9"/>
      <x:c r="E9"/>
      <x:c r="F9"/>
      <x:c r="G9"/>
      <x:c r="H9"/>
      <x:c r="I9"/>
      <x:c r="J9" t="str">
        <x:f>IF(OR(H9="",I9=""),"",ABS(H9-I9))</x:f>
      </x:c>
      <x:c r="K9" t="str">
        <x:f>IF(J9="","",IF(J9&lt;=1,"",IF(J9&lt;=2,"재확인","우선검토")))</x:f>
      </x:c>
    </x:row>
    <x:row r="10">
      <x:c r="A10"/>
      <x:c r="B10"/>
      <x:c r="C10"/>
      <x:c r="D10"/>
      <x:c r="E10"/>
      <x:c r="F10"/>
      <x:c r="G10"/>
      <x:c r="H10"/>
      <x:c r="I10"/>
      <x:c r="J10" t="str">
        <x:f>IF(OR(H10="",I10=""),"",ABS(H10-I10))</x:f>
      </x:c>
      <x:c r="K10" t="str">
        <x:f>IF(J10="","",IF(J10&lt;=1,"",IF(J10&lt;=2,"재확인","우선검토")))</x:f>
      </x:c>
    </x:row>
    <x:row r="11">
      <x:c r="A11"/>
      <x:c r="B11"/>
      <x:c r="C11"/>
      <x:c r="D11"/>
      <x:c r="E11"/>
      <x:c r="F11"/>
      <x:c r="G11"/>
      <x:c r="H11"/>
      <x:c r="I11"/>
      <x:c r="J11" t="str">
        <x:f>IF(OR(H11="",I11=""),"",ABS(H11-I11))</x:f>
      </x:c>
      <x:c r="K11" t="str">
        <x:f>IF(J11="","",IF(J11&lt;=1,"",IF(J11&lt;=2,"재확인","우선검토")))</x:f>
      </x:c>
    </x:row>
    <x:row r="12">
      <x:c r="A12"/>
      <x:c r="B12"/>
      <x:c r="C12"/>
      <x:c r="D12"/>
      <x:c r="E12"/>
      <x:c r="F12"/>
      <x:c r="G12"/>
      <x:c r="H12"/>
      <x:c r="I12"/>
      <x:c r="J12" t="str">
        <x:f>IF(OR(H12="",I12=""),"",ABS(H12-I12))</x:f>
      </x:c>
      <x:c r="K12" t="str">
        <x:f>IF(J12="","",IF(J12&lt;=1,"",IF(J12&lt;=2,"재확인","우선검토")))</x:f>
      </x:c>
    </x:row>
    <x:row r="13">
      <x:c r="A13"/>
      <x:c r="B13"/>
      <x:c r="C13"/>
      <x:c r="D13"/>
      <x:c r="E13"/>
      <x:c r="F13"/>
      <x:c r="G13"/>
      <x:c r="H13"/>
      <x:c r="I13"/>
      <x:c r="J13" t="str">
        <x:f>IF(OR(H13="",I13=""),"",ABS(H13-I13))</x:f>
      </x:c>
      <x:c r="K13" t="str">
        <x:f>IF(J13="","",IF(J13&lt;=1,"",IF(J13&lt;=2,"재확인","우선검토")))</x:f>
      </x:c>
    </x:row>
    <x:row r="14">
      <x:c r="A14"/>
      <x:c r="B14"/>
      <x:c r="C14"/>
      <x:c r="D14"/>
      <x:c r="E14"/>
      <x:c r="F14"/>
      <x:c r="G14"/>
      <x:c r="H14"/>
      <x:c r="I14"/>
      <x:c r="J14" t="str">
        <x:f>IF(OR(H14="",I14=""),"",ABS(H14-I14))</x:f>
      </x:c>
      <x:c r="K14" t="str">
        <x:f>IF(J14="","",IF(J14&lt;=1,"",IF(J14&lt;=2,"재확인","우선검토")))</x:f>
      </x:c>
    </x:row>
    <x:row r="15">
      <x:c r="A15"/>
      <x:c r="B15"/>
      <x:c r="C15"/>
      <x:c r="D15"/>
      <x:c r="E15"/>
      <x:c r="F15"/>
      <x:c r="G15"/>
      <x:c r="H15"/>
      <x:c r="I15"/>
      <x:c r="J15" t="str">
        <x:f>IF(OR(H15="",I15=""),"",ABS(H15-I15))</x:f>
      </x:c>
      <x:c r="K15" t="str">
        <x:f>IF(J15="","",IF(J15&lt;=1,"",IF(J15&lt;=2,"재확인","우선검토")))</x:f>
      </x:c>
    </x:row>
    <x:row r="16">
      <x:c r="A16"/>
      <x:c r="B16"/>
      <x:c r="C16"/>
      <x:c r="D16"/>
      <x:c r="E16"/>
      <x:c r="F16"/>
      <x:c r="G16"/>
      <x:c r="H16"/>
      <x:c r="I16"/>
      <x:c r="J16" t="str">
        <x:f>IF(OR(H16="",I16=""),"",ABS(H16-I16))</x:f>
      </x:c>
      <x:c r="K16" t="str">
        <x:f>IF(J16="","",IF(J16&lt;=1,"",IF(J16&lt;=2,"재확인","우선검토")))</x:f>
      </x:c>
    </x:row>
    <x:row r="17">
      <x:c r="A17"/>
      <x:c r="B17"/>
      <x:c r="C17"/>
      <x:c r="D17"/>
      <x:c r="E17"/>
      <x:c r="F17"/>
      <x:c r="G17"/>
      <x:c r="H17"/>
      <x:c r="I17"/>
      <x:c r="J17" t="str">
        <x:f>IF(OR(H17="",I17=""),"",ABS(H17-I17))</x:f>
      </x:c>
      <x:c r="K17" t="str">
        <x:f>IF(J17="","",IF(J17&lt;=1,"",IF(J17&lt;=2,"재확인","우선검토")))</x:f>
      </x:c>
    </x:row>
    <x:row r="18">
      <x:c r="A18"/>
      <x:c r="B18"/>
      <x:c r="C18"/>
      <x:c r="D18"/>
      <x:c r="E18"/>
      <x:c r="F18"/>
      <x:c r="G18"/>
      <x:c r="H18"/>
      <x:c r="I18"/>
      <x:c r="J18" t="str">
        <x:f>IF(OR(H18="",I18=""),"",ABS(H18-I18))</x:f>
      </x:c>
      <x:c r="K18" t="str">
        <x:f>IF(J18="","",IF(J18&lt;=1,"",IF(J18&lt;=2,"재확인","우선검토")))</x:f>
      </x:c>
    </x:row>
    <x:row r="19">
      <x:c r="A19"/>
      <x:c r="B19"/>
      <x:c r="C19"/>
      <x:c r="D19"/>
      <x:c r="E19"/>
      <x:c r="F19"/>
      <x:c r="G19"/>
      <x:c r="H19"/>
      <x:c r="I19"/>
      <x:c r="J19" t="str">
        <x:f>IF(OR(H19="",I19=""),"",ABS(H19-I19))</x:f>
      </x:c>
      <x:c r="K19" t="str">
        <x:f>IF(J19="","",IF(J19&lt;=1,"",IF(J19&lt;=2,"재확인","우선검토")))</x:f>
      </x:c>
    </x:row>
    <x:row r="20">
      <x:c r="A20"/>
      <x:c r="B20"/>
      <x:c r="C20"/>
      <x:c r="D20"/>
      <x:c r="E20"/>
      <x:c r="F20"/>
      <x:c r="G20"/>
      <x:c r="H20"/>
      <x:c r="I20"/>
      <x:c r="J20" t="str">
        <x:f>IF(OR(H20="",I20=""),"",ABS(H20-I20))</x:f>
      </x:c>
      <x:c r="K20" t="str">
        <x:f>IF(J20="","",IF(J20&lt;=1,"",IF(J20&lt;=2,"재확인","우선검토")))</x:f>
      </x:c>
    </x:row>
    <x:row r="21">
      <x:c r="A21"/>
      <x:c r="B21"/>
      <x:c r="C21"/>
      <x:c r="D21"/>
      <x:c r="E21"/>
      <x:c r="F21"/>
      <x:c r="G21"/>
      <x:c r="H21"/>
      <x:c r="I21"/>
      <x:c r="J21" t="str">
        <x:f>IF(OR(H21="",I21=""),"",ABS(H21-I21))</x:f>
      </x:c>
      <x:c r="K21" t="str">
        <x:f>IF(J21="","",IF(J21&lt;=1,"",IF(J21&lt;=2,"재확인","우선검토")))</x:f>
      </x:c>
    </x:row>
    <x:row r="22">
      <x:c r="A22"/>
      <x:c r="B22"/>
      <x:c r="C22"/>
      <x:c r="D22"/>
      <x:c r="E22"/>
      <x:c r="F22"/>
      <x:c r="G22"/>
      <x:c r="H22"/>
      <x:c r="I22"/>
      <x:c r="J22" t="str">
        <x:f>IF(OR(H22="",I22=""),"",ABS(H22-I22))</x:f>
      </x:c>
      <x:c r="K22" t="str">
        <x:f>IF(J22="","",IF(J22&lt;=1,"",IF(J22&lt;=2,"재확인","우선검토")))</x:f>
      </x:c>
    </x:row>
    <x:row r="23">
      <x:c r="A23"/>
      <x:c r="B23"/>
      <x:c r="C23"/>
      <x:c r="D23"/>
      <x:c r="E23"/>
      <x:c r="F23"/>
      <x:c r="G23"/>
      <x:c r="H23"/>
      <x:c r="I23"/>
      <x:c r="J23" t="str">
        <x:f>IF(OR(H23="",I23=""),"",ABS(H23-I23))</x:f>
      </x:c>
      <x:c r="K23" t="str">
        <x:f>IF(J23="","",IF(J23&lt;=1,"",IF(J23&lt;=2,"재확인","우선검토")))</x:f>
      </x:c>
    </x:row>
    <x:row r="24">
      <x:c r="A24"/>
      <x:c r="B24"/>
      <x:c r="C24"/>
      <x:c r="D24"/>
      <x:c r="E24"/>
      <x:c r="F24"/>
      <x:c r="G24"/>
      <x:c r="H24"/>
      <x:c r="I24"/>
      <x:c r="J24" t="str">
        <x:f>IF(OR(H24="",I24=""),"",ABS(H24-I24))</x:f>
      </x:c>
      <x:c r="K24" t="str">
        <x:f>IF(J24="","",IF(J24&lt;=1,"",IF(J24&lt;=2,"재확인","우선검토")))</x:f>
      </x:c>
    </x:row>
    <x:row r="25">
      <x:c r="A25"/>
      <x:c r="B25"/>
      <x:c r="C25"/>
      <x:c r="D25"/>
      <x:c r="E25"/>
      <x:c r="F25"/>
      <x:c r="G25"/>
      <x:c r="H25"/>
      <x:c r="I25"/>
      <x:c r="J25" t="str">
        <x:f>IF(OR(H25="",I25=""),"",ABS(H25-I25))</x:f>
      </x:c>
      <x:c r="K25" t="str">
        <x:f>IF(J25="","",IF(J25&lt;=1,"",IF(J25&lt;=2,"재확인","우선검토")))</x:f>
      </x:c>
    </x:row>
    <x:row r="26">
      <x:c r="A26"/>
      <x:c r="B26"/>
      <x:c r="C26"/>
      <x:c r="D26"/>
      <x:c r="E26"/>
      <x:c r="F26"/>
      <x:c r="G26"/>
      <x:c r="H26"/>
      <x:c r="I26"/>
      <x:c r="J26" t="str">
        <x:f>IF(OR(H26="",I26=""),"",ABS(H26-I26))</x:f>
      </x:c>
      <x:c r="K26" t="str">
        <x:f>IF(J26="","",IF(J26&lt;=1,"",IF(J26&lt;=2,"재확인","우선검토")))</x:f>
      </x:c>
    </x:row>
    <x:row r="27">
      <x:c r="A27"/>
      <x:c r="B27"/>
      <x:c r="C27"/>
      <x:c r="D27"/>
      <x:c r="E27"/>
      <x:c r="F27"/>
      <x:c r="G27"/>
      <x:c r="H27"/>
      <x:c r="I27"/>
      <x:c r="J27" t="str">
        <x:f>IF(OR(H27="",I27=""),"",ABS(H27-I27))</x:f>
      </x:c>
      <x:c r="K27" t="str">
        <x:f>IF(J27="","",IF(J27&lt;=1,"",IF(J27&lt;=2,"재확인","우선검토")))</x:f>
      </x:c>
    </x:row>
    <x:row r="28">
      <x:c r="A28"/>
      <x:c r="B28"/>
      <x:c r="C28"/>
      <x:c r="D28"/>
      <x:c r="E28"/>
      <x:c r="F28"/>
      <x:c r="G28"/>
      <x:c r="H28"/>
      <x:c r="I28"/>
      <x:c r="J28" t="str">
        <x:f>IF(OR(H28="",I28=""),"",ABS(H28-I28))</x:f>
      </x:c>
      <x:c r="K28" t="str">
        <x:f>IF(J28="","",IF(J28&lt;=1,"",IF(J28&lt;=2,"재확인","우선검토")))</x:f>
      </x:c>
    </x:row>
    <x:row r="29">
      <x:c r="A29"/>
      <x:c r="B29"/>
      <x:c r="C29"/>
      <x:c r="D29"/>
      <x:c r="E29"/>
      <x:c r="F29"/>
      <x:c r="G29"/>
      <x:c r="H29"/>
      <x:c r="I29"/>
      <x:c r="J29" t="str">
        <x:f>IF(OR(H29="",I29=""),"",ABS(H29-I29))</x:f>
      </x:c>
      <x:c r="K29" t="str">
        <x:f>IF(J29="","",IF(J29&lt;=1,"",IF(J29&lt;=2,"재확인","우선검토")))</x:f>
      </x:c>
    </x:row>
    <x:row r="30">
      <x:c r="A30"/>
      <x:c r="B30"/>
      <x:c r="C30"/>
      <x:c r="D30"/>
      <x:c r="E30"/>
      <x:c r="F30"/>
      <x:c r="G30"/>
      <x:c r="H30"/>
      <x:c r="I30"/>
      <x:c r="J30" t="str">
        <x:f>IF(OR(H30="",I30=""),"",ABS(H30-I30))</x:f>
      </x:c>
      <x:c r="K30" t="str">
        <x:f>IF(J30="","",IF(J30&lt;=1,"",IF(J30&lt;=2,"재확인","우선검토")))</x:f>
      </x:c>
    </x:row>
    <x:row r="31">
      <x:c r="A31"/>
      <x:c r="B31"/>
      <x:c r="C31"/>
      <x:c r="D31"/>
      <x:c r="E31"/>
      <x:c r="F31"/>
      <x:c r="G31"/>
      <x:c r="H31"/>
      <x:c r="I31"/>
      <x:c r="J31" t="str">
        <x:f>IF(OR(H31="",I31=""),"",ABS(H31-I31))</x:f>
      </x:c>
      <x:c r="K31" t="str">
        <x:f>IF(J31="","",IF(J31&lt;=1,"",IF(J31&lt;=2,"재확인","우선검토")))</x:f>
      </x:c>
    </x:row>
    <x:row r="32">
      <x:c r="A32"/>
      <x:c r="B32"/>
      <x:c r="C32"/>
      <x:c r="D32"/>
      <x:c r="E32"/>
      <x:c r="F32"/>
      <x:c r="G32"/>
      <x:c r="H32"/>
      <x:c r="I32"/>
      <x:c r="J32" t="str">
        <x:f>IF(OR(H32="",I32=""),"",ABS(H32-I32))</x:f>
      </x:c>
      <x:c r="K32" t="str">
        <x:f>IF(J32="","",IF(J32&lt;=1,"",IF(J32&lt;=2,"재확인","우선검토")))</x:f>
      </x:c>
    </x:row>
    <x:row r="33">
      <x:c r="A33"/>
      <x:c r="B33"/>
      <x:c r="C33"/>
      <x:c r="D33"/>
      <x:c r="E33"/>
      <x:c r="F33"/>
      <x:c r="G33"/>
      <x:c r="H33"/>
      <x:c r="I33"/>
      <x:c r="J33" t="str">
        <x:f>IF(OR(H33="",I33=""),"",ABS(H33-I33))</x:f>
      </x:c>
      <x:c r="K33" t="str">
        <x:f>IF(J33="","",IF(J33&lt;=1,"",IF(J33&lt;=2,"재확인","우선검토")))</x:f>
      </x:c>
    </x:row>
    <x:row r="34">
      <x:c r="A34"/>
      <x:c r="B34"/>
      <x:c r="C34"/>
      <x:c r="D34"/>
      <x:c r="E34"/>
      <x:c r="F34"/>
      <x:c r="G34"/>
      <x:c r="H34"/>
      <x:c r="I34"/>
      <x:c r="J34" t="str">
        <x:f>IF(OR(H34="",I34=""),"",ABS(H34-I34))</x:f>
      </x:c>
      <x:c r="K34" t="str">
        <x:f>IF(J34="","",IF(J34&lt;=1,"",IF(J34&lt;=2,"재확인","우선검토")))</x:f>
      </x:c>
    </x:row>
    <x:row r="35">
      <x:c r="A35"/>
      <x:c r="B35"/>
      <x:c r="C35"/>
      <x:c r="D35"/>
      <x:c r="E35"/>
      <x:c r="F35"/>
      <x:c r="G35"/>
      <x:c r="H35"/>
      <x:c r="I35"/>
      <x:c r="J35" t="str">
        <x:f>IF(OR(H35="",I35=""),"",ABS(H35-I35))</x:f>
      </x:c>
      <x:c r="K35" t="str">
        <x:f>IF(J35="","",IF(J35&lt;=1,"",IF(J35&lt;=2,"재확인","우선검토")))</x:f>
      </x:c>
    </x:row>
    <x:row r="36">
      <x:c r="A36"/>
      <x:c r="B36"/>
      <x:c r="C36"/>
      <x:c r="D36"/>
      <x:c r="E36"/>
      <x:c r="F36"/>
      <x:c r="G36"/>
      <x:c r="H36"/>
      <x:c r="I36"/>
      <x:c r="J36" t="str">
        <x:f>IF(OR(H36="",I36=""),"",ABS(H36-I36))</x:f>
      </x:c>
      <x:c r="K36" t="str">
        <x:f>IF(J36="","",IF(J36&lt;=1,"",IF(J36&lt;=2,"재확인","우선검토")))</x:f>
      </x:c>
    </x:row>
    <x:row r="37">
      <x:c r="A37"/>
      <x:c r="B37"/>
      <x:c r="C37"/>
      <x:c r="D37"/>
      <x:c r="E37"/>
      <x:c r="F37"/>
      <x:c r="G37"/>
      <x:c r="H37"/>
      <x:c r="I37"/>
      <x:c r="J37" t="str">
        <x:f>IF(OR(H37="",I37=""),"",ABS(H37-I37))</x:f>
      </x:c>
      <x:c r="K37" t="str">
        <x:f>IF(J37="","",IF(J37&lt;=1,"",IF(J37&lt;=2,"재확인","우선검토")))</x:f>
      </x:c>
    </x:row>
    <x:row r="38">
      <x:c r="A38"/>
      <x:c r="B38"/>
      <x:c r="C38"/>
      <x:c r="D38"/>
      <x:c r="E38"/>
      <x:c r="F38"/>
      <x:c r="G38"/>
      <x:c r="H38"/>
      <x:c r="I38"/>
      <x:c r="J38" t="str">
        <x:f>IF(OR(H38="",I38=""),"",ABS(H38-I38))</x:f>
      </x:c>
      <x:c r="K38" t="str">
        <x:f>IF(J38="","",IF(J38&lt;=1,"",IF(J38&lt;=2,"재확인","우선검토")))</x:f>
      </x:c>
    </x:row>
    <x:row r="39">
      <x:c r="A39"/>
      <x:c r="B39"/>
      <x:c r="C39"/>
      <x:c r="D39"/>
      <x:c r="E39"/>
      <x:c r="F39"/>
      <x:c r="G39"/>
      <x:c r="H39"/>
      <x:c r="I39"/>
      <x:c r="J39" t="str">
        <x:f>IF(OR(H39="",I39=""),"",ABS(H39-I39))</x:f>
      </x:c>
      <x:c r="K39" t="str">
        <x:f>IF(J39="","",IF(J39&lt;=1,"",IF(J39&lt;=2,"재확인","우선검토")))</x:f>
      </x:c>
    </x:row>
    <x:row r="40">
      <x:c r="A40"/>
      <x:c r="B40"/>
      <x:c r="C40"/>
      <x:c r="D40"/>
      <x:c r="E40"/>
      <x:c r="F40"/>
      <x:c r="G40"/>
      <x:c r="H40"/>
      <x:c r="I40"/>
      <x:c r="J40" t="str">
        <x:f>IF(OR(H40="",I40=""),"",ABS(H40-I40))</x:f>
      </x:c>
      <x:c r="K40" t="str">
        <x:f>IF(J40="","",IF(J40&lt;=1,"",IF(J40&lt;=2,"재확인","우선검토")))</x:f>
      </x:c>
    </x:row>
    <x:row r="41">
      <x:c r="A41"/>
      <x:c r="B41"/>
      <x:c r="C41"/>
      <x:c r="D41"/>
      <x:c r="E41"/>
      <x:c r="F41"/>
      <x:c r="G41"/>
      <x:c r="H41"/>
      <x:c r="I41"/>
      <x:c r="J41" t="str">
        <x:f>IF(OR(H41="",I41=""),"",ABS(H41-I41))</x:f>
      </x:c>
      <x:c r="K41" t="str">
        <x:f>IF(J41="","",IF(J41&lt;=1,"",IF(J41&lt;=2,"재확인","우선검토")))</x:f>
      </x:c>
    </x:row>
    <x:row r="42">
      <x:c r="A42"/>
      <x:c r="B42"/>
      <x:c r="C42"/>
      <x:c r="D42"/>
      <x:c r="E42"/>
      <x:c r="F42"/>
      <x:c r="G42"/>
      <x:c r="H42"/>
      <x:c r="I42"/>
      <x:c r="J42" t="str">
        <x:f>IF(OR(H42="",I42=""),"",ABS(H42-I42))</x:f>
      </x:c>
      <x:c r="K42" t="str">
        <x:f>IF(J42="","",IF(J42&lt;=1,"",IF(J42&lt;=2,"재확인","우선검토")))</x:f>
      </x:c>
    </x:row>
    <x:row r="43">
      <x:c r="A43"/>
      <x:c r="B43"/>
      <x:c r="C43"/>
      <x:c r="D43"/>
      <x:c r="E43"/>
      <x:c r="F43"/>
      <x:c r="G43"/>
      <x:c r="H43"/>
      <x:c r="I43"/>
      <x:c r="J43" t="str">
        <x:f>IF(OR(H43="",I43=""),"",ABS(H43-I43))</x:f>
      </x:c>
      <x:c r="K43" t="str">
        <x:f>IF(J43="","",IF(J43&lt;=1,"",IF(J43&lt;=2,"재확인","우선검토")))</x:f>
      </x:c>
    </x:row>
    <x:row r="44">
      <x:c r="A44"/>
      <x:c r="B44"/>
      <x:c r="C44"/>
      <x:c r="D44"/>
      <x:c r="E44"/>
      <x:c r="F44"/>
      <x:c r="G44"/>
      <x:c r="H44"/>
      <x:c r="I44"/>
      <x:c r="J44" t="str">
        <x:f>IF(OR(H44="",I44=""),"",ABS(H44-I44))</x:f>
      </x:c>
      <x:c r="K44" t="str">
        <x:f>IF(J44="","",IF(J44&lt;=1,"",IF(J44&lt;=2,"재확인","우선검토")))</x:f>
      </x:c>
    </x:row>
    <x:row r="45">
      <x:c r="A45"/>
      <x:c r="B45"/>
      <x:c r="C45"/>
      <x:c r="D45"/>
      <x:c r="E45"/>
      <x:c r="F45"/>
      <x:c r="G45"/>
      <x:c r="H45"/>
      <x:c r="I45"/>
      <x:c r="J45" t="str">
        <x:f>IF(OR(H45="",I45=""),"",ABS(H45-I45))</x:f>
      </x:c>
      <x:c r="K45" t="str">
        <x:f>IF(J45="","",IF(J45&lt;=1,"",IF(J45&lt;=2,"재확인","우선검토")))</x:f>
      </x:c>
    </x:row>
    <x:row r="46">
      <x:c r="A46"/>
      <x:c r="B46"/>
      <x:c r="C46"/>
      <x:c r="D46"/>
      <x:c r="E46"/>
      <x:c r="F46"/>
      <x:c r="G46"/>
      <x:c r="H46"/>
      <x:c r="I46"/>
      <x:c r="J46" t="str">
        <x:f>IF(OR(H46="",I46=""),"",ABS(H46-I46))</x:f>
      </x:c>
      <x:c r="K46" t="str">
        <x:f>IF(J46="","",IF(J46&lt;=1,"",IF(J46&lt;=2,"재확인","우선검토")))</x:f>
      </x:c>
    </x:row>
    <x:row r="47">
      <x:c r="A47"/>
      <x:c r="B47"/>
      <x:c r="C47"/>
      <x:c r="D47"/>
      <x:c r="E47"/>
      <x:c r="F47"/>
      <x:c r="G47"/>
      <x:c r="H47"/>
      <x:c r="I47"/>
      <x:c r="J47" t="str">
        <x:f>IF(OR(H47="",I47=""),"",ABS(H47-I47))</x:f>
      </x:c>
      <x:c r="K47" t="str">
        <x:f>IF(J47="","",IF(J47&lt;=1,"",IF(J47&lt;=2,"재확인","우선검토")))</x:f>
      </x:c>
    </x:row>
    <x:row r="48">
      <x:c r="A48"/>
      <x:c r="B48"/>
      <x:c r="C48"/>
      <x:c r="D48"/>
      <x:c r="E48"/>
      <x:c r="F48"/>
      <x:c r="G48"/>
      <x:c r="H48"/>
      <x:c r="I48"/>
      <x:c r="J48" t="str">
        <x:f>IF(OR(H48="",I48=""),"",ABS(H48-I48))</x:f>
      </x:c>
      <x:c r="K48" t="str">
        <x:f>IF(J48="","",IF(J48&lt;=1,"",IF(J48&lt;=2,"재확인","우선검토")))</x:f>
      </x:c>
    </x:row>
    <x:row r="49">
      <x:c r="A49"/>
      <x:c r="B49"/>
      <x:c r="C49"/>
      <x:c r="D49"/>
      <x:c r="E49"/>
      <x:c r="F49"/>
      <x:c r="G49"/>
      <x:c r="H49"/>
      <x:c r="I49"/>
      <x:c r="J49" t="str">
        <x:f>IF(OR(H49="",I49=""),"",ABS(H49-I49))</x:f>
      </x:c>
      <x:c r="K49" t="str">
        <x:f>IF(J49="","",IF(J49&lt;=1,"",IF(J49&lt;=2,"재확인","우선검토")))</x:f>
      </x:c>
    </x:row>
    <x:row r="50">
      <x:c r="A50"/>
      <x:c r="B50"/>
      <x:c r="C50"/>
      <x:c r="D50"/>
      <x:c r="E50"/>
      <x:c r="F50"/>
      <x:c r="G50"/>
      <x:c r="H50"/>
      <x:c r="I50"/>
      <x:c r="J50" t="str">
        <x:f>IF(OR(H50="",I50=""),"",ABS(H50-I50))</x:f>
      </x:c>
      <x:c r="K50" t="str">
        <x:f>IF(J50="","",IF(J50&lt;=1,"",IF(J50&lt;=2,"재확인","우선검토")))</x:f>
      </x:c>
    </x:row>
    <x:row r="51">
      <x:c r="A51"/>
      <x:c r="B51"/>
      <x:c r="C51"/>
      <x:c r="D51"/>
      <x:c r="E51"/>
      <x:c r="F51"/>
      <x:c r="G51"/>
      <x:c r="H51"/>
      <x:c r="I51"/>
      <x:c r="J51" t="str">
        <x:f>IF(OR(H51="",I51=""),"",ABS(H51-I51))</x:f>
      </x:c>
      <x:c r="K51" t="str">
        <x:f>IF(J51="","",IF(J51&lt;=1,"",IF(J51&lt;=2,"재확인","우선검토")))</x:f>
      </x:c>
    </x:row>
    <x:row r="52">
      <x:c r="A52"/>
      <x:c r="B52"/>
      <x:c r="C52"/>
      <x:c r="D52"/>
      <x:c r="E52"/>
      <x:c r="F52"/>
      <x:c r="G52"/>
      <x:c r="H52"/>
      <x:c r="I52"/>
      <x:c r="J52" t="str">
        <x:f>IF(OR(H52="",I52=""),"",ABS(H52-I52))</x:f>
      </x:c>
      <x:c r="K52" t="str">
        <x:f>IF(J52="","",IF(J52&lt;=1,"",IF(J52&lt;=2,"재확인","우선검토")))</x:f>
      </x:c>
    </x:row>
    <x:row r="53">
      <x:c r="A53"/>
      <x:c r="B53"/>
      <x:c r="C53"/>
      <x:c r="D53"/>
      <x:c r="E53"/>
      <x:c r="F53"/>
      <x:c r="G53"/>
      <x:c r="H53"/>
      <x:c r="I53"/>
      <x:c r="J53" t="str">
        <x:f>IF(OR(H53="",I53=""),"",ABS(H53-I53))</x:f>
      </x:c>
      <x:c r="K53" t="str">
        <x:f>IF(J53="","",IF(J53&lt;=1,"",IF(J53&lt;=2,"재확인","우선검토")))</x:f>
      </x:c>
    </x:row>
    <x:row r="54">
      <x:c r="A54"/>
      <x:c r="B54"/>
      <x:c r="C54"/>
      <x:c r="D54"/>
      <x:c r="E54"/>
      <x:c r="F54"/>
      <x:c r="G54"/>
      <x:c r="H54"/>
      <x:c r="I54"/>
      <x:c r="J54" t="str">
        <x:f>IF(OR(H54="",I54=""),"",ABS(H54-I54))</x:f>
      </x:c>
      <x:c r="K54" t="str">
        <x:f>IF(J54="","",IF(J54&lt;=1,"",IF(J54&lt;=2,"재확인","우선검토")))</x:f>
      </x:c>
    </x:row>
    <x:row r="55">
      <x:c r="A55"/>
      <x:c r="B55"/>
      <x:c r="C55"/>
      <x:c r="D55"/>
      <x:c r="E55"/>
      <x:c r="F55"/>
      <x:c r="G55"/>
      <x:c r="H55"/>
      <x:c r="I55"/>
      <x:c r="J55" t="str">
        <x:f>IF(OR(H55="",I55=""),"",ABS(H55-I55))</x:f>
      </x:c>
      <x:c r="K55" t="str">
        <x:f>IF(J55="","",IF(J55&lt;=1,"",IF(J55&lt;=2,"재확인","우선검토")))</x:f>
      </x:c>
    </x:row>
    <x:row r="56">
      <x:c r="A56"/>
      <x:c r="B56"/>
      <x:c r="C56"/>
      <x:c r="D56"/>
      <x:c r="E56"/>
      <x:c r="F56"/>
      <x:c r="G56"/>
      <x:c r="H56"/>
      <x:c r="I56"/>
      <x:c r="J56" t="str">
        <x:f>IF(OR(H56="",I56=""),"",ABS(H56-I56))</x:f>
      </x:c>
      <x:c r="K56" t="str">
        <x:f>IF(J56="","",IF(J56&lt;=1,"",IF(J56&lt;=2,"재확인","우선검토")))</x:f>
      </x:c>
    </x:row>
    <x:row r="57">
      <x:c r="A57"/>
      <x:c r="B57"/>
      <x:c r="C57"/>
      <x:c r="D57"/>
      <x:c r="E57"/>
      <x:c r="F57"/>
      <x:c r="G57"/>
      <x:c r="H57"/>
      <x:c r="I57"/>
      <x:c r="J57" t="str">
        <x:f>IF(OR(H57="",I57=""),"",ABS(H57-I57))</x:f>
      </x:c>
      <x:c r="K57" t="str">
        <x:f>IF(J57="","",IF(J57&lt;=1,"",IF(J57&lt;=2,"재확인","우선검토")))</x:f>
      </x:c>
    </x:row>
    <x:row r="58">
      <x:c r="A58"/>
      <x:c r="B58"/>
      <x:c r="C58"/>
      <x:c r="D58"/>
      <x:c r="E58"/>
      <x:c r="F58"/>
      <x:c r="G58"/>
      <x:c r="H58"/>
      <x:c r="I58"/>
      <x:c r="J58" t="str">
        <x:f>IF(OR(H58="",I58=""),"",ABS(H58-I58))</x:f>
      </x:c>
      <x:c r="K58" t="str">
        <x:f>IF(J58="","",IF(J58&lt;=1,"",IF(J58&lt;=2,"재확인","우선검토")))</x:f>
      </x:c>
    </x:row>
    <x:row r="59">
      <x:c r="A59"/>
      <x:c r="B59"/>
      <x:c r="C59"/>
      <x:c r="D59"/>
      <x:c r="E59"/>
      <x:c r="F59"/>
      <x:c r="G59"/>
      <x:c r="H59"/>
      <x:c r="I59"/>
      <x:c r="J59" t="str">
        <x:f>IF(OR(H59="",I59=""),"",ABS(H59-I59))</x:f>
      </x:c>
      <x:c r="K59" t="str">
        <x:f>IF(J59="","",IF(J59&lt;=1,"",IF(J59&lt;=2,"재확인","우선검토")))</x:f>
      </x:c>
    </x:row>
    <x:row r="60">
      <x:c r="A60"/>
      <x:c r="B60"/>
      <x:c r="C60"/>
      <x:c r="D60"/>
      <x:c r="E60"/>
      <x:c r="F60"/>
      <x:c r="G60"/>
      <x:c r="H60"/>
      <x:c r="I60"/>
      <x:c r="J60" t="str">
        <x:f>IF(OR(H60="",I60=""),"",ABS(H60-I60))</x:f>
      </x:c>
      <x:c r="K60" t="str">
        <x:f>IF(J60="","",IF(J60&lt;=1,"",IF(J60&lt;=2,"재확인","우선검토")))</x:f>
      </x:c>
    </x:row>
    <x:row r="61">
      <x:c r="A61"/>
      <x:c r="B61"/>
      <x:c r="C61"/>
      <x:c r="D61"/>
      <x:c r="E61"/>
      <x:c r="F61"/>
      <x:c r="G61"/>
      <x:c r="H61"/>
      <x:c r="I61"/>
      <x:c r="J61" t="str">
        <x:f>IF(OR(H61="",I61=""),"",ABS(H61-I61))</x:f>
      </x:c>
      <x:c r="K61" t="str">
        <x:f>IF(J61="","",IF(J61&lt;=1,"",IF(J61&lt;=2,"재확인","우선검토")))</x:f>
      </x:c>
    </x:row>
    <x:row r="62">
      <x:c r="A62"/>
      <x:c r="B62"/>
      <x:c r="C62"/>
      <x:c r="D62"/>
      <x:c r="E62"/>
      <x:c r="F62"/>
      <x:c r="G62"/>
      <x:c r="H62"/>
      <x:c r="I62"/>
      <x:c r="J62" t="str">
        <x:f>IF(OR(H62="",I62=""),"",ABS(H62-I62))</x:f>
      </x:c>
      <x:c r="K62" t="str">
        <x:f>IF(J62="","",IF(J62&lt;=1,"",IF(J62&lt;=2,"재확인","우선검토")))</x:f>
      </x:c>
    </x:row>
    <x:row r="63">
      <x:c r="A63"/>
      <x:c r="B63"/>
      <x:c r="C63"/>
      <x:c r="D63"/>
      <x:c r="E63"/>
      <x:c r="F63"/>
      <x:c r="G63"/>
      <x:c r="H63"/>
      <x:c r="I63"/>
      <x:c r="J63" t="str">
        <x:f>IF(OR(H63="",I63=""),"",ABS(H63-I63))</x:f>
      </x:c>
      <x:c r="K63" t="str">
        <x:f>IF(J63="","",IF(J63&lt;=1,"",IF(J63&lt;=2,"재확인","우선검토")))</x:f>
      </x:c>
    </x:row>
    <x:row r="64">
      <x:c r="A64"/>
      <x:c r="B64"/>
      <x:c r="C64"/>
      <x:c r="D64"/>
      <x:c r="E64"/>
      <x:c r="F64"/>
      <x:c r="G64"/>
      <x:c r="H64"/>
      <x:c r="I64"/>
      <x:c r="J64" t="str">
        <x:f>IF(OR(H64="",I64=""),"",ABS(H64-I64))</x:f>
      </x:c>
      <x:c r="K64" t="str">
        <x:f>IF(J64="","",IF(J64&lt;=1,"",IF(J64&lt;=2,"재확인","우선검토")))</x:f>
      </x:c>
    </x:row>
    <x:row r="65">
      <x:c r="A65"/>
      <x:c r="B65"/>
      <x:c r="C65"/>
      <x:c r="D65"/>
      <x:c r="E65"/>
      <x:c r="F65"/>
      <x:c r="G65"/>
      <x:c r="H65"/>
      <x:c r="I65"/>
      <x:c r="J65" t="str">
        <x:f>IF(OR(H65="",I65=""),"",ABS(H65-I65))</x:f>
      </x:c>
      <x:c r="K65" t="str">
        <x:f>IF(J65="","",IF(J65&lt;=1,"",IF(J65&lt;=2,"재확인","우선검토")))</x:f>
      </x:c>
    </x:row>
    <x:row r="66">
      <x:c r="A66"/>
      <x:c r="B66"/>
      <x:c r="C66"/>
      <x:c r="D66"/>
      <x:c r="E66"/>
      <x:c r="F66"/>
      <x:c r="G66"/>
      <x:c r="H66"/>
      <x:c r="I66"/>
      <x:c r="J66" t="str">
        <x:f>IF(OR(H66="",I66=""),"",ABS(H66-I66))</x:f>
      </x:c>
      <x:c r="K66" t="str">
        <x:f>IF(J66="","",IF(J66&lt;=1,"",IF(J66&lt;=2,"재확인","우선검토")))</x:f>
      </x:c>
    </x:row>
    <x:row r="67">
      <x:c r="A67"/>
      <x:c r="B67"/>
      <x:c r="C67"/>
      <x:c r="D67"/>
      <x:c r="E67"/>
      <x:c r="F67"/>
      <x:c r="G67"/>
      <x:c r="H67"/>
      <x:c r="I67"/>
      <x:c r="J67" t="str">
        <x:f>IF(OR(H67="",I67=""),"",ABS(H67-I67))</x:f>
      </x:c>
      <x:c r="K67" t="str">
        <x:f>IF(J67="","",IF(J67&lt;=1,"",IF(J67&lt;=2,"재확인","우선검토")))</x:f>
      </x:c>
    </x:row>
    <x:row r="68">
      <x:c r="A68"/>
      <x:c r="B68"/>
      <x:c r="C68"/>
      <x:c r="D68"/>
      <x:c r="E68"/>
      <x:c r="F68"/>
      <x:c r="G68"/>
      <x:c r="H68"/>
      <x:c r="I68"/>
      <x:c r="J68" t="str">
        <x:f>IF(OR(H68="",I68=""),"",ABS(H68-I68))</x:f>
      </x:c>
      <x:c r="K68" t="str">
        <x:f>IF(J68="","",IF(J68&lt;=1,"",IF(J68&lt;=2,"재확인","우선검토")))</x:f>
      </x:c>
    </x:row>
    <x:row r="69">
      <x:c r="A69"/>
      <x:c r="B69"/>
      <x:c r="C69"/>
      <x:c r="D69"/>
      <x:c r="E69"/>
      <x:c r="F69"/>
      <x:c r="G69"/>
      <x:c r="H69"/>
      <x:c r="I69"/>
      <x:c r="J69" t="str">
        <x:f>IF(OR(H69="",I69=""),"",ABS(H69-I69))</x:f>
      </x:c>
      <x:c r="K69" t="str">
        <x:f>IF(J69="","",IF(J69&lt;=1,"",IF(J69&lt;=2,"재확인","우선검토")))</x:f>
      </x:c>
    </x:row>
    <x:row r="70">
      <x:c r="A70"/>
      <x:c r="B70"/>
      <x:c r="C70"/>
      <x:c r="D70"/>
      <x:c r="E70"/>
      <x:c r="F70"/>
      <x:c r="G70"/>
      <x:c r="H70"/>
      <x:c r="I70"/>
      <x:c r="J70" t="str">
        <x:f>IF(OR(H70="",I70=""),"",ABS(H70-I70))</x:f>
      </x:c>
      <x:c r="K70" t="str">
        <x:f>IF(J70="","",IF(J70&lt;=1,"",IF(J70&lt;=2,"재확인","우선검토")))</x:f>
      </x:c>
    </x:row>
    <x:row r="71">
      <x:c r="A71"/>
      <x:c r="B71"/>
      <x:c r="C71"/>
      <x:c r="D71"/>
      <x:c r="E71"/>
      <x:c r="F71"/>
      <x:c r="G71"/>
      <x:c r="H71"/>
      <x:c r="I71"/>
      <x:c r="J71" t="str">
        <x:f>IF(OR(H71="",I71=""),"",ABS(H71-I71))</x:f>
      </x:c>
      <x:c r="K71" t="str">
        <x:f>IF(J71="","",IF(J71&lt;=1,"",IF(J71&lt;=2,"재확인","우선검토")))</x:f>
      </x:c>
    </x:row>
    <x:row r="72">
      <x:c r="A72"/>
      <x:c r="B72"/>
      <x:c r="C72"/>
      <x:c r="D72"/>
      <x:c r="E72"/>
      <x:c r="F72"/>
      <x:c r="G72"/>
      <x:c r="H72"/>
      <x:c r="I72"/>
      <x:c r="J72" t="str">
        <x:f>IF(OR(H72="",I72=""),"",ABS(H72-I72))</x:f>
      </x:c>
      <x:c r="K72" t="str">
        <x:f>IF(J72="","",IF(J72&lt;=1,"",IF(J72&lt;=2,"재확인","우선검토")))</x:f>
      </x:c>
    </x:row>
    <x:row r="73">
      <x:c r="A73"/>
      <x:c r="B73"/>
      <x:c r="C73"/>
      <x:c r="D73"/>
      <x:c r="E73"/>
      <x:c r="F73"/>
      <x:c r="G73"/>
      <x:c r="H73"/>
      <x:c r="I73"/>
      <x:c r="J73" t="str">
        <x:f>IF(OR(H73="",I73=""),"",ABS(H73-I73))</x:f>
      </x:c>
      <x:c r="K73" t="str">
        <x:f>IF(J73="","",IF(J73&lt;=1,"",IF(J73&lt;=2,"재확인","우선검토")))</x:f>
      </x:c>
    </x:row>
    <x:row r="74">
      <x:c r="A74"/>
      <x:c r="B74"/>
      <x:c r="C74"/>
      <x:c r="D74"/>
      <x:c r="E74"/>
      <x:c r="F74"/>
      <x:c r="G74"/>
      <x:c r="H74"/>
      <x:c r="I74"/>
      <x:c r="J74" t="str">
        <x:f>IF(OR(H74="",I74=""),"",ABS(H74-I74))</x:f>
      </x:c>
      <x:c r="K74" t="str">
        <x:f>IF(J74="","",IF(J74&lt;=1,"",IF(J74&lt;=2,"재확인","우선검토")))</x:f>
      </x:c>
    </x:row>
    <x:row r="75">
      <x:c r="A75"/>
      <x:c r="B75"/>
      <x:c r="C75"/>
      <x:c r="D75"/>
      <x:c r="E75"/>
      <x:c r="F75"/>
      <x:c r="G75"/>
      <x:c r="H75"/>
      <x:c r="I75"/>
      <x:c r="J75" t="str">
        <x:f>IF(OR(H75="",I75=""),"",ABS(H75-I75))</x:f>
      </x:c>
      <x:c r="K75" t="str">
        <x:f>IF(J75="","",IF(J75&lt;=1,"",IF(J75&lt;=2,"재확인","우선검토")))</x:f>
      </x:c>
    </x:row>
    <x:row r="76">
      <x:c r="A76"/>
      <x:c r="B76"/>
      <x:c r="C76"/>
      <x:c r="D76"/>
      <x:c r="E76"/>
      <x:c r="F76"/>
      <x:c r="G76"/>
      <x:c r="H76"/>
      <x:c r="I76"/>
      <x:c r="J76" t="str">
        <x:f>IF(OR(H76="",I76=""),"",ABS(H76-I76))</x:f>
      </x:c>
      <x:c r="K76" t="str">
        <x:f>IF(J76="","",IF(J76&lt;=1,"",IF(J76&lt;=2,"재확인","우선검토")))</x:f>
      </x:c>
    </x:row>
    <x:row r="77">
      <x:c r="A77"/>
      <x:c r="B77"/>
      <x:c r="C77"/>
      <x:c r="D77"/>
      <x:c r="E77"/>
      <x:c r="F77"/>
      <x:c r="G77"/>
      <x:c r="H77"/>
      <x:c r="I77"/>
      <x:c r="J77" t="str">
        <x:f>IF(OR(H77="",I77=""),"",ABS(H77-I77))</x:f>
      </x:c>
      <x:c r="K77" t="str">
        <x:f>IF(J77="","",IF(J77&lt;=1,"",IF(J77&lt;=2,"재확인","우선검토")))</x:f>
      </x:c>
    </x:row>
    <x:row r="78">
      <x:c r="A78"/>
      <x:c r="B78"/>
      <x:c r="C78"/>
      <x:c r="D78"/>
      <x:c r="E78"/>
      <x:c r="F78"/>
      <x:c r="G78"/>
      <x:c r="H78"/>
      <x:c r="I78"/>
      <x:c r="J78" t="str">
        <x:f>IF(OR(H78="",I78=""),"",ABS(H78-I78))</x:f>
      </x:c>
      <x:c r="K78" t="str">
        <x:f>IF(J78="","",IF(J78&lt;=1,"",IF(J78&lt;=2,"재확인","우선검토")))</x:f>
      </x:c>
    </x:row>
    <x:row r="79">
      <x:c r="A79"/>
      <x:c r="B79"/>
      <x:c r="C79"/>
      <x:c r="D79"/>
      <x:c r="E79"/>
      <x:c r="F79"/>
      <x:c r="G79"/>
      <x:c r="H79"/>
      <x:c r="I79"/>
      <x:c r="J79" t="str">
        <x:f>IF(OR(H79="",I79=""),"",ABS(H79-I79))</x:f>
      </x:c>
      <x:c r="K79" t="str">
        <x:f>IF(J79="","",IF(J79&lt;=1,"",IF(J79&lt;=2,"재확인","우선검토")))</x:f>
      </x:c>
    </x:row>
    <x:row r="80">
      <x:c r="A80"/>
      <x:c r="B80"/>
      <x:c r="C80"/>
      <x:c r="D80"/>
      <x:c r="E80"/>
      <x:c r="F80"/>
      <x:c r="G80"/>
      <x:c r="H80"/>
      <x:c r="I80"/>
      <x:c r="J80" t="str">
        <x:f>IF(OR(H80="",I80=""),"",ABS(H80-I80))</x:f>
      </x:c>
      <x:c r="K80" t="str">
        <x:f>IF(J80="","",IF(J80&lt;=1,"",IF(J80&lt;=2,"재확인","우선검토")))</x:f>
      </x:c>
    </x:row>
    <x:row r="81">
      <x:c r="A81"/>
      <x:c r="B81"/>
      <x:c r="C81"/>
      <x:c r="D81"/>
      <x:c r="E81"/>
      <x:c r="F81"/>
      <x:c r="G81"/>
      <x:c r="H81"/>
      <x:c r="I81"/>
      <x:c r="J81" t="str">
        <x:f>IF(OR(H81="",I81=""),"",ABS(H81-I81))</x:f>
      </x:c>
      <x:c r="K81" t="str">
        <x:f>IF(J81="","",IF(J81&lt;=1,"",IF(J81&lt;=2,"재확인","우선검토")))</x:f>
      </x:c>
    </x:row>
    <x:row r="82">
      <x:c r="A82"/>
      <x:c r="B82"/>
      <x:c r="C82"/>
      <x:c r="D82"/>
      <x:c r="E82"/>
      <x:c r="F82"/>
      <x:c r="G82"/>
      <x:c r="H82"/>
      <x:c r="I82"/>
      <x:c r="J82" t="str">
        <x:f>IF(OR(H82="",I82=""),"",ABS(H82-I82))</x:f>
      </x:c>
      <x:c r="K82" t="str">
        <x:f>IF(J82="","",IF(J82&lt;=1,"",IF(J82&lt;=2,"재확인","우선검토")))</x:f>
      </x:c>
    </x:row>
    <x:row r="83">
      <x:c r="A83"/>
      <x:c r="B83"/>
      <x:c r="C83"/>
      <x:c r="D83"/>
      <x:c r="E83"/>
      <x:c r="F83"/>
      <x:c r="G83"/>
      <x:c r="H83"/>
      <x:c r="I83"/>
      <x:c r="J83" t="str">
        <x:f>IF(OR(H83="",I83=""),"",ABS(H83-I83))</x:f>
      </x:c>
      <x:c r="K83" t="str">
        <x:f>IF(J83="","",IF(J83&lt;=1,"",IF(J83&lt;=2,"재확인","우선검토")))</x:f>
      </x:c>
    </x:row>
    <x:row r="84">
      <x:c r="A84"/>
      <x:c r="B84"/>
      <x:c r="C84"/>
      <x:c r="D84"/>
      <x:c r="E84"/>
      <x:c r="F84"/>
      <x:c r="G84"/>
      <x:c r="H84"/>
      <x:c r="I84"/>
      <x:c r="J84" t="str">
        <x:f>IF(OR(H84="",I84=""),"",ABS(H84-I84))</x:f>
      </x:c>
      <x:c r="K84" t="str">
        <x:f>IF(J84="","",IF(J84&lt;=1,"",IF(J84&lt;=2,"재확인","우선검토")))</x:f>
      </x:c>
    </x:row>
    <x:row r="85">
      <x:c r="A85"/>
      <x:c r="B85"/>
      <x:c r="C85"/>
      <x:c r="D85"/>
      <x:c r="E85"/>
      <x:c r="F85"/>
      <x:c r="G85"/>
      <x:c r="H85"/>
      <x:c r="I85"/>
      <x:c r="J85" t="str">
        <x:f>IF(OR(H85="",I85=""),"",ABS(H85-I85))</x:f>
      </x:c>
      <x:c r="K85" t="str">
        <x:f>IF(J85="","",IF(J85&lt;=1,"",IF(J85&lt;=2,"재확인","우선검토")))</x:f>
      </x:c>
    </x:row>
    <x:row r="86">
      <x:c r="A86"/>
      <x:c r="B86"/>
      <x:c r="C86"/>
      <x:c r="D86"/>
      <x:c r="E86"/>
      <x:c r="F86"/>
      <x:c r="G86"/>
      <x:c r="H86"/>
      <x:c r="I86"/>
      <x:c r="J86" t="str">
        <x:f>IF(OR(H86="",I86=""),"",ABS(H86-I86))</x:f>
      </x:c>
      <x:c r="K86" t="str">
        <x:f>IF(J86="","",IF(J86&lt;=1,"",IF(J86&lt;=2,"재확인","우선검토")))</x:f>
      </x:c>
    </x:row>
    <x:row r="87">
      <x:c r="A87"/>
      <x:c r="B87"/>
      <x:c r="C87"/>
      <x:c r="D87"/>
      <x:c r="E87"/>
      <x:c r="F87"/>
      <x:c r="G87"/>
      <x:c r="H87"/>
      <x:c r="I87"/>
      <x:c r="J87" t="str">
        <x:f>IF(OR(H87="",I87=""),"",ABS(H87-I87))</x:f>
      </x:c>
      <x:c r="K87" t="str">
        <x:f>IF(J87="","",IF(J87&lt;=1,"",IF(J87&lt;=2,"재확인","우선검토")))</x:f>
      </x:c>
    </x:row>
    <x:row r="88">
      <x:c r="A88"/>
      <x:c r="B88"/>
      <x:c r="C88"/>
      <x:c r="D88"/>
      <x:c r="E88"/>
      <x:c r="F88"/>
      <x:c r="G88"/>
      <x:c r="H88"/>
      <x:c r="I88"/>
      <x:c r="J88" t="str">
        <x:f>IF(OR(H88="",I88=""),"",ABS(H88-I88))</x:f>
      </x:c>
      <x:c r="K88" t="str">
        <x:f>IF(J88="","",IF(J88&lt;=1,"",IF(J88&lt;=2,"재확인","우선검토")))</x:f>
      </x:c>
    </x:row>
    <x:row r="89">
      <x:c r="A89"/>
      <x:c r="B89"/>
      <x:c r="C89"/>
      <x:c r="D89"/>
      <x:c r="E89"/>
      <x:c r="F89"/>
      <x:c r="G89"/>
      <x:c r="H89"/>
      <x:c r="I89"/>
      <x:c r="J89" t="str">
        <x:f>IF(OR(H89="",I89=""),"",ABS(H89-I89))</x:f>
      </x:c>
      <x:c r="K89" t="str">
        <x:f>IF(J89="","",IF(J89&lt;=1,"",IF(J89&lt;=2,"재확인","우선검토")))</x:f>
      </x:c>
    </x:row>
    <x:row r="90">
      <x:c r="A90"/>
      <x:c r="B90"/>
      <x:c r="C90"/>
      <x:c r="D90"/>
      <x:c r="E90"/>
      <x:c r="F90"/>
      <x:c r="G90"/>
      <x:c r="H90"/>
      <x:c r="I90"/>
      <x:c r="J90" t="str">
        <x:f>IF(OR(H90="",I90=""),"",ABS(H90-I90))</x:f>
      </x:c>
      <x:c r="K90" t="str">
        <x:f>IF(J90="","",IF(J90&lt;=1,"",IF(J90&lt;=2,"재확인","우선검토")))</x:f>
      </x:c>
    </x:row>
    <x:row r="91">
      <x:c r="A91"/>
      <x:c r="B91"/>
      <x:c r="C91"/>
      <x:c r="D91"/>
      <x:c r="E91"/>
      <x:c r="F91"/>
      <x:c r="G91"/>
      <x:c r="H91"/>
      <x:c r="I91"/>
      <x:c r="J91" t="str">
        <x:f>IF(OR(H91="",I91=""),"",ABS(H91-I91))</x:f>
      </x:c>
      <x:c r="K91" t="str">
        <x:f>IF(J91="","",IF(J91&lt;=1,"",IF(J91&lt;=2,"재확인","우선검토")))</x:f>
      </x:c>
    </x:row>
    <x:row r="92">
      <x:c r="A92"/>
      <x:c r="B92"/>
      <x:c r="C92"/>
      <x:c r="D92"/>
      <x:c r="E92"/>
      <x:c r="F92"/>
      <x:c r="G92"/>
      <x:c r="H92"/>
      <x:c r="I92"/>
      <x:c r="J92" t="str">
        <x:f>IF(OR(H92="",I92=""),"",ABS(H92-I92))</x:f>
      </x:c>
      <x:c r="K92" t="str">
        <x:f>IF(J92="","",IF(J92&lt;=1,"",IF(J92&lt;=2,"재확인","우선검토")))</x:f>
      </x:c>
    </x:row>
    <x:row r="93">
      <x:c r="A93"/>
      <x:c r="B93"/>
      <x:c r="C93"/>
      <x:c r="D93"/>
      <x:c r="E93"/>
      <x:c r="F93"/>
      <x:c r="G93"/>
      <x:c r="H93"/>
      <x:c r="I93"/>
      <x:c r="J93" t="str">
        <x:f>IF(OR(H93="",I93=""),"",ABS(H93-I93))</x:f>
      </x:c>
      <x:c r="K93" t="str">
        <x:f>IF(J93="","",IF(J93&lt;=1,"",IF(J93&lt;=2,"재확인","우선검토")))</x:f>
      </x:c>
    </x:row>
    <x:row r="94">
      <x:c r="A94"/>
      <x:c r="B94"/>
      <x:c r="C94"/>
      <x:c r="D94"/>
      <x:c r="E94"/>
      <x:c r="F94"/>
      <x:c r="G94"/>
      <x:c r="H94"/>
      <x:c r="I94"/>
      <x:c r="J94" t="str">
        <x:f>IF(OR(H94="",I94=""),"",ABS(H94-I94))</x:f>
      </x:c>
      <x:c r="K94" t="str">
        <x:f>IF(J94="","",IF(J94&lt;=1,"",IF(J94&lt;=2,"재확인","우선검토")))</x:f>
      </x:c>
    </x:row>
    <x:row r="95">
      <x:c r="A95"/>
      <x:c r="B95"/>
      <x:c r="C95"/>
      <x:c r="D95"/>
      <x:c r="E95"/>
      <x:c r="F95"/>
      <x:c r="G95"/>
      <x:c r="H95"/>
      <x:c r="I95"/>
      <x:c r="J95" t="str">
        <x:f>IF(OR(H95="",I95=""),"",ABS(H95-I95))</x:f>
      </x:c>
      <x:c r="K95" t="str">
        <x:f>IF(J95="","",IF(J95&lt;=1,"",IF(J95&lt;=2,"재확인","우선검토")))</x:f>
      </x:c>
    </x:row>
    <x:row r="96">
      <x:c r="A96"/>
      <x:c r="B96"/>
      <x:c r="C96"/>
      <x:c r="D96"/>
      <x:c r="E96"/>
      <x:c r="F96"/>
      <x:c r="G96"/>
      <x:c r="H96"/>
      <x:c r="I96"/>
      <x:c r="J96" t="str">
        <x:f>IF(OR(H96="",I96=""),"",ABS(H96-I96))</x:f>
      </x:c>
      <x:c r="K96" t="str">
        <x:f>IF(J96="","",IF(J96&lt;=1,"",IF(J96&lt;=2,"재확인","우선검토")))</x:f>
      </x:c>
    </x:row>
    <x:row r="97">
      <x:c r="A97"/>
      <x:c r="B97"/>
      <x:c r="C97"/>
      <x:c r="D97"/>
      <x:c r="E97"/>
      <x:c r="F97"/>
      <x:c r="G97"/>
      <x:c r="H97"/>
      <x:c r="I97"/>
      <x:c r="J97" t="str">
        <x:f>IF(OR(H97="",I97=""),"",ABS(H97-I97))</x:f>
      </x:c>
      <x:c r="K97" t="str">
        <x:f>IF(J97="","",IF(J97&lt;=1,"",IF(J97&lt;=2,"재확인","우선검토")))</x:f>
      </x:c>
    </x:row>
    <x:row r="98">
      <x:c r="A98"/>
      <x:c r="B98"/>
      <x:c r="C98"/>
      <x:c r="D98"/>
      <x:c r="E98"/>
      <x:c r="F98"/>
      <x:c r="G98"/>
      <x:c r="H98"/>
      <x:c r="I98"/>
      <x:c r="J98" t="str">
        <x:f>IF(OR(H98="",I98=""),"",ABS(H98-I98))</x:f>
      </x:c>
      <x:c r="K98" t="str">
        <x:f>IF(J98="","",IF(J98&lt;=1,"",IF(J98&lt;=2,"재확인","우선검토")))</x:f>
      </x:c>
    </x:row>
    <x:row r="99">
      <x:c r="A99"/>
      <x:c r="B99"/>
      <x:c r="C99"/>
      <x:c r="D99"/>
      <x:c r="E99"/>
      <x:c r="F99"/>
      <x:c r="G99"/>
      <x:c r="H99"/>
      <x:c r="I99"/>
      <x:c r="J99" t="str">
        <x:f>IF(OR(H99="",I99=""),"",ABS(H99-I99))</x:f>
      </x:c>
      <x:c r="K99" t="str">
        <x:f>IF(J99="","",IF(J99&lt;=1,"",IF(J99&lt;=2,"재확인","우선검토")))</x:f>
      </x:c>
    </x:row>
    <x:row r="100">
      <x:c r="A100"/>
      <x:c r="B100"/>
      <x:c r="C100"/>
      <x:c r="D100"/>
      <x:c r="E100"/>
      <x:c r="F100"/>
      <x:c r="G100"/>
      <x:c r="H100"/>
      <x:c r="I100"/>
      <x:c r="J100" t="str">
        <x:f>IF(OR(H100="",I100=""),"",ABS(H100-I100))</x:f>
      </x:c>
      <x:c r="K100" t="str">
        <x:f>IF(J100="","",IF(J100&lt;=1,"",IF(J100&lt;=2,"재확인","우선검토")))</x:f>
      </x:c>
    </x:row>
    <x:row r="101">
      <x:c r="A101"/>
      <x:c r="B101"/>
      <x:c r="C101"/>
      <x:c r="D101"/>
      <x:c r="E101"/>
      <x:c r="F101"/>
      <x:c r="G101"/>
      <x:c r="H101"/>
      <x:c r="I101"/>
      <x:c r="J101" t="str">
        <x:f>IF(OR(H101="",I101=""),"",ABS(H101-I101))</x:f>
      </x:c>
      <x:c r="K101" t="str">
        <x:f>IF(J101="","",IF(J101&lt;=1,"",IF(J101&lt;=2,"재확인","우선검토")))</x:f>
      </x:c>
    </x:row>
    <x:row r="102">
      <x:c r="A102"/>
      <x:c r="B102"/>
      <x:c r="C102"/>
      <x:c r="D102"/>
      <x:c r="E102"/>
      <x:c r="F102"/>
      <x:c r="G102"/>
      <x:c r="H102"/>
      <x:c r="I102"/>
      <x:c r="J102" t="str">
        <x:f>IF(OR(H102="",I102=""),"",ABS(H102-I102))</x:f>
      </x:c>
      <x:c r="K102" t="str">
        <x:f>IF(J102="","",IF(J102&lt;=1,"",IF(J102&lt;=2,"재확인","우선검토")))</x:f>
      </x:c>
    </x:row>
    <x:row r="103">
      <x:c r="A103"/>
      <x:c r="B103"/>
      <x:c r="C103"/>
      <x:c r="D103"/>
      <x:c r="E103"/>
      <x:c r="F103"/>
      <x:c r="G103"/>
      <x:c r="H103"/>
      <x:c r="I103"/>
      <x:c r="J103" t="str">
        <x:f>IF(OR(H103="",I103=""),"",ABS(H103-I103))</x:f>
      </x:c>
      <x:c r="K103" t="str">
        <x:f>IF(J103="","",IF(J103&lt;=1,"",IF(J103&lt;=2,"재확인","우선검토")))</x:f>
      </x:c>
    </x:row>
    <x:row r="104">
      <x:c r="A104"/>
      <x:c r="B104"/>
      <x:c r="C104"/>
      <x:c r="D104"/>
      <x:c r="E104"/>
      <x:c r="F104"/>
      <x:c r="G104"/>
      <x:c r="H104"/>
      <x:c r="I104"/>
      <x:c r="J104" t="str">
        <x:f>IF(OR(H104="",I104=""),"",ABS(H104-I104))</x:f>
      </x:c>
      <x:c r="K104" t="str">
        <x:f>IF(J104="","",IF(J104&lt;=1,"",IF(J104&lt;=2,"재확인","우선검토")))</x:f>
      </x:c>
    </x:row>
    <x:row r="105">
      <x:c r="A105"/>
      <x:c r="B105"/>
      <x:c r="C105"/>
      <x:c r="D105"/>
      <x:c r="E105"/>
      <x:c r="F105"/>
      <x:c r="G105"/>
      <x:c r="H105"/>
      <x:c r="I105"/>
      <x:c r="J105" t="str">
        <x:f>IF(OR(H105="",I105=""),"",ABS(H105-I105))</x:f>
      </x:c>
      <x:c r="K105" t="str">
        <x:f>IF(J105="","",IF(J105&lt;=1,"",IF(J105&lt;=2,"재확인","우선검토")))</x:f>
      </x:c>
    </x:row>
    <x:row r="106">
      <x:c r="A106"/>
      <x:c r="B106"/>
      <x:c r="C106"/>
      <x:c r="D106"/>
      <x:c r="E106"/>
      <x:c r="F106"/>
      <x:c r="G106"/>
      <x:c r="H106"/>
      <x:c r="I106"/>
      <x:c r="J106" t="str">
        <x:f>IF(OR(H106="",I106=""),"",ABS(H106-I106))</x:f>
      </x:c>
      <x:c r="K106" t="str">
        <x:f>IF(J106="","",IF(J106&lt;=1,"",IF(J106&lt;=2,"재확인","우선검토")))</x:f>
      </x:c>
    </x:row>
    <x:row r="107">
      <x:c r="A107"/>
      <x:c r="B107"/>
      <x:c r="C107"/>
      <x:c r="D107"/>
      <x:c r="E107"/>
      <x:c r="F107"/>
      <x:c r="G107"/>
      <x:c r="H107"/>
      <x:c r="I107"/>
      <x:c r="J107" t="str">
        <x:f>IF(OR(H107="",I107=""),"",ABS(H107-I107))</x:f>
      </x:c>
      <x:c r="K107" t="str">
        <x:f>IF(J107="","",IF(J107&lt;=1,"",IF(J107&lt;=2,"재확인","우선검토")))</x:f>
      </x:c>
    </x:row>
    <x:row r="108">
      <x:c r="A108"/>
      <x:c r="B108"/>
      <x:c r="C108"/>
      <x:c r="D108"/>
      <x:c r="E108"/>
      <x:c r="F108"/>
      <x:c r="G108"/>
      <x:c r="H108"/>
      <x:c r="I108"/>
      <x:c r="J108" t="str">
        <x:f>IF(OR(H108="",I108=""),"",ABS(H108-I108))</x:f>
      </x:c>
      <x:c r="K108" t="str">
        <x:f>IF(J108="","",IF(J108&lt;=1,"",IF(J108&lt;=2,"재확인","우선검토")))</x:f>
      </x:c>
    </x:row>
    <x:row r="109">
      <x:c r="A109"/>
      <x:c r="B109"/>
      <x:c r="C109"/>
      <x:c r="D109"/>
      <x:c r="E109"/>
      <x:c r="F109"/>
      <x:c r="G109"/>
      <x:c r="H109"/>
      <x:c r="I109"/>
      <x:c r="J109" t="str">
        <x:f>IF(OR(H109="",I109=""),"",ABS(H109-I109))</x:f>
      </x:c>
      <x:c r="K109" t="str">
        <x:f>IF(J109="","",IF(J109&lt;=1,"",IF(J109&lt;=2,"재확인","우선검토")))</x:f>
      </x:c>
    </x:row>
    <x:row r="110">
      <x:c r="A110"/>
      <x:c r="B110"/>
      <x:c r="C110"/>
      <x:c r="D110"/>
      <x:c r="E110"/>
      <x:c r="F110"/>
      <x:c r="G110"/>
      <x:c r="H110"/>
      <x:c r="I110"/>
      <x:c r="J110" t="str">
        <x:f>IF(OR(H110="",I110=""),"",ABS(H110-I110))</x:f>
      </x:c>
      <x:c r="K110" t="str">
        <x:f>IF(J110="","",IF(J110&lt;=1,"",IF(J110&lt;=2,"재확인","우선검토")))</x:f>
      </x:c>
    </x:row>
    <x:row r="111">
      <x:c r="A111"/>
      <x:c r="B111"/>
      <x:c r="C111"/>
      <x:c r="D111"/>
      <x:c r="E111"/>
      <x:c r="F111"/>
      <x:c r="G111"/>
      <x:c r="H111"/>
      <x:c r="I111"/>
      <x:c r="J111" t="str">
        <x:f>IF(OR(H111="",I111=""),"",ABS(H111-I111))</x:f>
      </x:c>
      <x:c r="K111" t="str">
        <x:f>IF(J111="","",IF(J111&lt;=1,"",IF(J111&lt;=2,"재확인","우선검토")))</x:f>
      </x:c>
    </x:row>
    <x:row r="112">
      <x:c r="A112"/>
      <x:c r="B112"/>
      <x:c r="C112"/>
      <x:c r="D112"/>
      <x:c r="E112"/>
      <x:c r="F112"/>
      <x:c r="G112"/>
      <x:c r="H112"/>
      <x:c r="I112"/>
      <x:c r="J112" t="str">
        <x:f>IF(OR(H112="",I112=""),"",ABS(H112-I112))</x:f>
      </x:c>
      <x:c r="K112" t="str">
        <x:f>IF(J112="","",IF(J112&lt;=1,"",IF(J112&lt;=2,"재확인","우선검토")))</x:f>
      </x:c>
    </x:row>
    <x:row r="113">
      <x:c r="A113"/>
      <x:c r="B113"/>
      <x:c r="C113"/>
      <x:c r="D113"/>
      <x:c r="E113"/>
      <x:c r="F113"/>
      <x:c r="G113"/>
      <x:c r="H113"/>
      <x:c r="I113"/>
      <x:c r="J113" t="str">
        <x:f>IF(OR(H113="",I113=""),"",ABS(H113-I113))</x:f>
      </x:c>
      <x:c r="K113" t="str">
        <x:f>IF(J113="","",IF(J113&lt;=1,"",IF(J113&lt;=2,"재확인","우선검토")))</x:f>
      </x:c>
    </x:row>
    <x:row r="114">
      <x:c r="A114"/>
      <x:c r="B114"/>
      <x:c r="C114"/>
      <x:c r="D114"/>
      <x:c r="E114"/>
      <x:c r="F114"/>
      <x:c r="G114"/>
      <x:c r="H114"/>
      <x:c r="I114"/>
      <x:c r="J114" t="str">
        <x:f>IF(OR(H114="",I114=""),"",ABS(H114-I114))</x:f>
      </x:c>
      <x:c r="K114" t="str">
        <x:f>IF(J114="","",IF(J114&lt;=1,"",IF(J114&lt;=2,"재확인","우선검토")))</x:f>
      </x:c>
    </x:row>
    <x:row r="115">
      <x:c r="A115"/>
      <x:c r="B115"/>
      <x:c r="C115"/>
      <x:c r="D115"/>
      <x:c r="E115"/>
      <x:c r="F115"/>
      <x:c r="G115"/>
      <x:c r="H115"/>
      <x:c r="I115"/>
      <x:c r="J115" t="str">
        <x:f>IF(OR(H115="",I115=""),"",ABS(H115-I115))</x:f>
      </x:c>
      <x:c r="K115" t="str">
        <x:f>IF(J115="","",IF(J115&lt;=1,"",IF(J115&lt;=2,"재확인","우선검토")))</x:f>
      </x:c>
    </x:row>
    <x:row r="116">
      <x:c r="A116"/>
      <x:c r="B116"/>
      <x:c r="C116"/>
      <x:c r="D116"/>
      <x:c r="E116"/>
      <x:c r="F116"/>
      <x:c r="G116"/>
      <x:c r="H116"/>
      <x:c r="I116"/>
      <x:c r="J116" t="str">
        <x:f>IF(OR(H116="",I116=""),"",ABS(H116-I116))</x:f>
      </x:c>
      <x:c r="K116" t="str">
        <x:f>IF(J116="","",IF(J116&lt;=1,"",IF(J116&lt;=2,"재확인","우선검토")))</x:f>
      </x:c>
    </x:row>
    <x:row r="117">
      <x:c r="A117"/>
      <x:c r="B117"/>
      <x:c r="C117"/>
      <x:c r="D117"/>
      <x:c r="E117"/>
      <x:c r="F117"/>
      <x:c r="G117"/>
      <x:c r="H117"/>
      <x:c r="I117"/>
      <x:c r="J117" t="str">
        <x:f>IF(OR(H117="",I117=""),"",ABS(H117-I117))</x:f>
      </x:c>
      <x:c r="K117" t="str">
        <x:f>IF(J117="","",IF(J117&lt;=1,"",IF(J117&lt;=2,"재확인","우선검토")))</x:f>
      </x:c>
    </x:row>
    <x:row r="118">
      <x:c r="A118"/>
      <x:c r="B118"/>
      <x:c r="C118"/>
      <x:c r="D118"/>
      <x:c r="E118"/>
      <x:c r="F118"/>
      <x:c r="G118"/>
      <x:c r="H118"/>
      <x:c r="I118"/>
      <x:c r="J118" t="str">
        <x:f>IF(OR(H118="",I118=""),"",ABS(H118-I118))</x:f>
      </x:c>
      <x:c r="K118" t="str">
        <x:f>IF(J118="","",IF(J118&lt;=1,"",IF(J118&lt;=2,"재확인","우선검토")))</x:f>
      </x:c>
    </x:row>
    <x:row r="119">
      <x:c r="A119"/>
      <x:c r="B119"/>
      <x:c r="C119"/>
      <x:c r="D119"/>
      <x:c r="E119"/>
      <x:c r="F119"/>
      <x:c r="G119"/>
      <x:c r="H119"/>
      <x:c r="I119"/>
      <x:c r="J119" t="str">
        <x:f>IF(OR(H119="",I119=""),"",ABS(H119-I119))</x:f>
      </x:c>
      <x:c r="K119" t="str">
        <x:f>IF(J119="","",IF(J119&lt;=1,"",IF(J119&lt;=2,"재확인","우선검토")))</x:f>
      </x:c>
    </x:row>
    <x:row r="120">
      <x:c r="A120"/>
      <x:c r="B120"/>
      <x:c r="C120"/>
      <x:c r="D120"/>
      <x:c r="E120"/>
      <x:c r="F120"/>
      <x:c r="G120"/>
      <x:c r="H120"/>
      <x:c r="I120"/>
      <x:c r="J120" t="str">
        <x:f>IF(OR(H120="",I120=""),"",ABS(H120-I120))</x:f>
      </x:c>
      <x:c r="K120" t="str">
        <x:f>IF(J120="","",IF(J120&lt;=1,"",IF(J120&lt;=2,"재확인","우선검토")))</x:f>
      </x:c>
    </x:row>
    <x:row r="121">
      <x:c r="A121"/>
      <x:c r="B121"/>
      <x:c r="C121"/>
      <x:c r="D121"/>
      <x:c r="E121"/>
      <x:c r="F121"/>
      <x:c r="G121"/>
      <x:c r="H121"/>
      <x:c r="I121"/>
      <x:c r="J121" t="str">
        <x:f>IF(OR(H121="",I121=""),"",ABS(H121-I121))</x:f>
      </x:c>
      <x:c r="K121" t="str">
        <x:f>IF(J121="","",IF(J121&lt;=1,"",IF(J121&lt;=2,"재확인","우선검토")))</x:f>
      </x:c>
    </x:row>
    <x:row r="122">
      <x:c r="A122"/>
      <x:c r="B122"/>
      <x:c r="C122"/>
      <x:c r="D122"/>
      <x:c r="E122"/>
      <x:c r="F122"/>
      <x:c r="G122"/>
      <x:c r="H122"/>
      <x:c r="I122"/>
      <x:c r="J122" t="str">
        <x:f>IF(OR(H122="",I122=""),"",ABS(H122-I122))</x:f>
      </x:c>
      <x:c r="K122" t="str">
        <x:f>IF(J122="","",IF(J122&lt;=1,"",IF(J122&lt;=2,"재확인","우선검토")))</x:f>
      </x:c>
    </x:row>
    <x:row r="123">
      <x:c r="A123"/>
      <x:c r="B123"/>
      <x:c r="C123"/>
      <x:c r="D123"/>
      <x:c r="E123"/>
      <x:c r="F123"/>
      <x:c r="G123"/>
      <x:c r="H123"/>
      <x:c r="I123"/>
      <x:c r="J123" t="str">
        <x:f>IF(OR(H123="",I123=""),"",ABS(H123-I123))</x:f>
      </x:c>
      <x:c r="K123" t="str">
        <x:f>IF(J123="","",IF(J123&lt;=1,"",IF(J123&lt;=2,"재확인","우선검토")))</x:f>
      </x:c>
    </x:row>
    <x:row r="124">
      <x:c r="A124"/>
      <x:c r="B124"/>
      <x:c r="C124"/>
      <x:c r="D124"/>
      <x:c r="E124"/>
      <x:c r="F124"/>
      <x:c r="G124"/>
      <x:c r="H124"/>
      <x:c r="I124"/>
      <x:c r="J124" t="str">
        <x:f>IF(OR(H124="",I124=""),"",ABS(H124-I124))</x:f>
      </x:c>
      <x:c r="K124" t="str">
        <x:f>IF(J124="","",IF(J124&lt;=1,"",IF(J124&lt;=2,"재확인","우선검토")))</x:f>
      </x:c>
    </x:row>
    <x:row r="125">
      <x:c r="A125"/>
      <x:c r="B125"/>
      <x:c r="C125"/>
      <x:c r="D125"/>
      <x:c r="E125"/>
      <x:c r="F125"/>
      <x:c r="G125"/>
      <x:c r="H125"/>
      <x:c r="I125"/>
      <x:c r="J125" t="str">
        <x:f>IF(OR(H125="",I125=""),"",ABS(H125-I125))</x:f>
      </x:c>
      <x:c r="K125" t="str">
        <x:f>IF(J125="","",IF(J125&lt;=1,"",IF(J125&lt;=2,"재확인","우선검토")))</x:f>
      </x:c>
    </x:row>
    <x:row r="126">
      <x:c r="A126"/>
      <x:c r="B126"/>
      <x:c r="C126"/>
      <x:c r="D126"/>
      <x:c r="E126"/>
      <x:c r="F126"/>
      <x:c r="G126"/>
      <x:c r="H126"/>
      <x:c r="I126"/>
      <x:c r="J126" t="str">
        <x:f>IF(OR(H126="",I126=""),"",ABS(H126-I126))</x:f>
      </x:c>
      <x:c r="K126" t="str">
        <x:f>IF(J126="","",IF(J126&lt;=1,"",IF(J126&lt;=2,"재확인","우선검토")))</x:f>
      </x:c>
    </x:row>
    <x:row r="127">
      <x:c r="A127"/>
      <x:c r="B127"/>
      <x:c r="C127"/>
      <x:c r="D127"/>
      <x:c r="E127"/>
      <x:c r="F127"/>
      <x:c r="G127"/>
      <x:c r="H127"/>
      <x:c r="I127"/>
      <x:c r="J127" t="str">
        <x:f>IF(OR(H127="",I127=""),"",ABS(H127-I127))</x:f>
      </x:c>
      <x:c r="K127" t="str">
        <x:f>IF(J127="","",IF(J127&lt;=1,"",IF(J127&lt;=2,"재확인","우선검토")))</x:f>
      </x:c>
    </x:row>
    <x:row r="128">
      <x:c r="A128"/>
      <x:c r="B128"/>
      <x:c r="C128"/>
      <x:c r="D128"/>
      <x:c r="E128"/>
      <x:c r="F128"/>
      <x:c r="G128"/>
      <x:c r="H128"/>
      <x:c r="I128"/>
      <x:c r="J128" t="str">
        <x:f>IF(OR(H128="",I128=""),"",ABS(H128-I128))</x:f>
      </x:c>
      <x:c r="K128" t="str">
        <x:f>IF(J128="","",IF(J128&lt;=1,"",IF(J128&lt;=2,"재확인","우선검토")))</x:f>
      </x:c>
    </x:row>
    <x:row r="129">
      <x:c r="A129"/>
      <x:c r="B129"/>
      <x:c r="C129"/>
      <x:c r="D129"/>
      <x:c r="E129"/>
      <x:c r="F129"/>
      <x:c r="G129"/>
      <x:c r="H129"/>
      <x:c r="I129"/>
      <x:c r="J129" t="str">
        <x:f>IF(OR(H129="",I129=""),"",ABS(H129-I129))</x:f>
      </x:c>
      <x:c r="K129" t="str">
        <x:f>IF(J129="","",IF(J129&lt;=1,"",IF(J129&lt;=2,"재확인","우선검토")))</x:f>
      </x:c>
    </x:row>
    <x:row r="130">
      <x:c r="A130"/>
      <x:c r="B130"/>
      <x:c r="C130"/>
      <x:c r="D130"/>
      <x:c r="E130"/>
      <x:c r="F130"/>
      <x:c r="G130"/>
      <x:c r="H130"/>
      <x:c r="I130"/>
      <x:c r="J130" t="str">
        <x:f>IF(OR(H130="",I130=""),"",ABS(H130-I130))</x:f>
      </x:c>
      <x:c r="K130" t="str">
        <x:f>IF(J130="","",IF(J130&lt;=1,"",IF(J130&lt;=2,"재확인","우선검토")))</x:f>
      </x:c>
    </x:row>
    <x:row r="131">
      <x:c r="A131"/>
      <x:c r="B131"/>
      <x:c r="C131"/>
      <x:c r="D131"/>
      <x:c r="E131"/>
      <x:c r="F131"/>
      <x:c r="G131"/>
      <x:c r="H131"/>
      <x:c r="I131"/>
      <x:c r="J131" t="str">
        <x:f>IF(OR(H131="",I131=""),"",ABS(H131-I131))</x:f>
      </x:c>
      <x:c r="K131" t="str">
        <x:f>IF(J131="","",IF(J131&lt;=1,"",IF(J131&lt;=2,"재확인","우선검토")))</x:f>
      </x:c>
    </x:row>
    <x:row r="132">
      <x:c r="A132"/>
      <x:c r="B132"/>
      <x:c r="C132"/>
      <x:c r="D132"/>
      <x:c r="E132"/>
      <x:c r="F132"/>
      <x:c r="G132"/>
      <x:c r="H132"/>
      <x:c r="I132"/>
      <x:c r="J132" t="str">
        <x:f>IF(OR(H132="",I132=""),"",ABS(H132-I132))</x:f>
      </x:c>
      <x:c r="K132" t="str">
        <x:f>IF(J132="","",IF(J132&lt;=1,"",IF(J132&lt;=2,"재확인","우선검토")))</x:f>
      </x:c>
    </x:row>
    <x:row r="133">
      <x:c r="A133"/>
      <x:c r="B133"/>
      <x:c r="C133"/>
      <x:c r="D133"/>
      <x:c r="E133"/>
      <x:c r="F133"/>
      <x:c r="G133"/>
      <x:c r="H133"/>
      <x:c r="I133"/>
      <x:c r="J133" t="str">
        <x:f>IF(OR(H133="",I133=""),"",ABS(H133-I133))</x:f>
      </x:c>
      <x:c r="K133" t="str">
        <x:f>IF(J133="","",IF(J133&lt;=1,"",IF(J133&lt;=2,"재확인","우선검토")))</x:f>
      </x:c>
    </x:row>
    <x:row r="134">
      <x:c r="A134"/>
      <x:c r="B134"/>
      <x:c r="C134"/>
      <x:c r="D134"/>
      <x:c r="E134"/>
      <x:c r="F134"/>
      <x:c r="G134"/>
      <x:c r="H134"/>
      <x:c r="I134"/>
      <x:c r="J134" t="str">
        <x:f>IF(OR(H134="",I134=""),"",ABS(H134-I134))</x:f>
      </x:c>
      <x:c r="K134" t="str">
        <x:f>IF(J134="","",IF(J134&lt;=1,"",IF(J134&lt;=2,"재확인","우선검토")))</x:f>
      </x:c>
    </x:row>
    <x:row r="135">
      <x:c r="A135"/>
      <x:c r="B135"/>
      <x:c r="C135"/>
      <x:c r="D135"/>
      <x:c r="E135"/>
      <x:c r="F135"/>
      <x:c r="G135"/>
      <x:c r="H135"/>
      <x:c r="I135"/>
      <x:c r="J135" t="str">
        <x:f>IF(OR(H135="",I135=""),"",ABS(H135-I135))</x:f>
      </x:c>
      <x:c r="K135" t="str">
        <x:f>IF(J135="","",IF(J135&lt;=1,"",IF(J135&lt;=2,"재확인","우선검토")))</x:f>
      </x:c>
    </x:row>
    <x:row r="136">
      <x:c r="A136"/>
      <x:c r="B136"/>
      <x:c r="C136"/>
      <x:c r="D136"/>
      <x:c r="E136"/>
      <x:c r="F136"/>
      <x:c r="G136"/>
      <x:c r="H136"/>
      <x:c r="I136"/>
      <x:c r="J136" t="str">
        <x:f>IF(OR(H136="",I136=""),"",ABS(H136-I136))</x:f>
      </x:c>
      <x:c r="K136" t="str">
        <x:f>IF(J136="","",IF(J136&lt;=1,"",IF(J136&lt;=2,"재확인","우선검토")))</x:f>
      </x:c>
    </x:row>
    <x:row r="137">
      <x:c r="A137"/>
      <x:c r="B137"/>
      <x:c r="C137"/>
      <x:c r="D137"/>
      <x:c r="E137"/>
      <x:c r="F137"/>
      <x:c r="G137"/>
      <x:c r="H137"/>
      <x:c r="I137"/>
      <x:c r="J137" t="str">
        <x:f>IF(OR(H137="",I137=""),"",ABS(H137-I137))</x:f>
      </x:c>
      <x:c r="K137" t="str">
        <x:f>IF(J137="","",IF(J137&lt;=1,"",IF(J137&lt;=2,"재확인","우선검토")))</x:f>
      </x:c>
    </x:row>
    <x:row r="138">
      <x:c r="A138"/>
      <x:c r="B138"/>
      <x:c r="C138"/>
      <x:c r="D138"/>
      <x:c r="E138"/>
      <x:c r="F138"/>
      <x:c r="G138"/>
      <x:c r="H138"/>
      <x:c r="I138"/>
      <x:c r="J138" t="str">
        <x:f>IF(OR(H138="",I138=""),"",ABS(H138-I138))</x:f>
      </x:c>
      <x:c r="K138" t="str">
        <x:f>IF(J138="","",IF(J138&lt;=1,"",IF(J138&lt;=2,"재확인","우선검토")))</x:f>
      </x:c>
    </x:row>
    <x:row r="139">
      <x:c r="A139"/>
      <x:c r="B139"/>
      <x:c r="C139"/>
      <x:c r="D139"/>
      <x:c r="E139"/>
      <x:c r="F139"/>
      <x:c r="G139"/>
      <x:c r="H139"/>
      <x:c r="I139"/>
      <x:c r="J139" t="str">
        <x:f>IF(OR(H139="",I139=""),"",ABS(H139-I139))</x:f>
      </x:c>
      <x:c r="K139" t="str">
        <x:f>IF(J139="","",IF(J139&lt;=1,"",IF(J139&lt;=2,"재확인","우선검토")))</x:f>
      </x:c>
    </x:row>
    <x:row r="140">
      <x:c r="A140"/>
      <x:c r="B140"/>
      <x:c r="C140"/>
      <x:c r="D140"/>
      <x:c r="E140"/>
      <x:c r="F140"/>
      <x:c r="G140"/>
      <x:c r="H140"/>
      <x:c r="I140"/>
      <x:c r="J140" t="str">
        <x:f>IF(OR(H140="",I140=""),"",ABS(H140-I140))</x:f>
      </x:c>
      <x:c r="K140" t="str">
        <x:f>IF(J140="","",IF(J140&lt;=1,"",IF(J140&lt;=2,"재확인","우선검토")))</x:f>
      </x:c>
    </x:row>
    <x:row r="141">
      <x:c r="A141"/>
      <x:c r="B141"/>
      <x:c r="C141"/>
      <x:c r="D141"/>
      <x:c r="E141"/>
      <x:c r="F141"/>
      <x:c r="G141"/>
      <x:c r="H141"/>
      <x:c r="I141"/>
      <x:c r="J141" t="str">
        <x:f>IF(OR(H141="",I141=""),"",ABS(H141-I141))</x:f>
      </x:c>
      <x:c r="K141" t="str">
        <x:f>IF(J141="","",IF(J141&lt;=1,"",IF(J141&lt;=2,"재확인","우선검토")))</x:f>
      </x:c>
    </x:row>
    <x:row r="142">
      <x:c r="A142"/>
      <x:c r="B142"/>
      <x:c r="C142"/>
      <x:c r="D142"/>
      <x:c r="E142"/>
      <x:c r="F142"/>
      <x:c r="G142"/>
      <x:c r="H142"/>
      <x:c r="I142"/>
      <x:c r="J142" t="str">
        <x:f>IF(OR(H142="",I142=""),"",ABS(H142-I142))</x:f>
      </x:c>
      <x:c r="K142" t="str">
        <x:f>IF(J142="","",IF(J142&lt;=1,"",IF(J142&lt;=2,"재확인","우선검토")))</x:f>
      </x:c>
    </x:row>
    <x:row r="143">
      <x:c r="A143"/>
      <x:c r="B143"/>
      <x:c r="C143"/>
      <x:c r="D143"/>
      <x:c r="E143"/>
      <x:c r="F143"/>
      <x:c r="G143"/>
      <x:c r="H143"/>
      <x:c r="I143"/>
      <x:c r="J143" t="str">
        <x:f>IF(OR(H143="",I143=""),"",ABS(H143-I143))</x:f>
      </x:c>
      <x:c r="K143" t="str">
        <x:f>IF(J143="","",IF(J143&lt;=1,"",IF(J143&lt;=2,"재확인","우선검토")))</x:f>
      </x:c>
    </x:row>
    <x:row r="144">
      <x:c r="A144"/>
      <x:c r="B144"/>
      <x:c r="C144"/>
      <x:c r="D144"/>
      <x:c r="E144"/>
      <x:c r="F144"/>
      <x:c r="G144"/>
      <x:c r="H144"/>
      <x:c r="I144"/>
      <x:c r="J144" t="str">
        <x:f>IF(OR(H144="",I144=""),"",ABS(H144-I144))</x:f>
      </x:c>
      <x:c r="K144" t="str">
        <x:f>IF(J144="","",IF(J144&lt;=1,"",IF(J144&lt;=2,"재확인","우선검토")))</x:f>
      </x:c>
    </x:row>
    <x:row r="145">
      <x:c r="A145"/>
      <x:c r="B145"/>
      <x:c r="C145"/>
      <x:c r="D145"/>
      <x:c r="E145"/>
      <x:c r="F145"/>
      <x:c r="G145"/>
      <x:c r="H145"/>
      <x:c r="I145"/>
      <x:c r="J145" t="str">
        <x:f>IF(OR(H145="",I145=""),"",ABS(H145-I145))</x:f>
      </x:c>
      <x:c r="K145" t="str">
        <x:f>IF(J145="","",IF(J145&lt;=1,"",IF(J145&lt;=2,"재확인","우선검토")))</x:f>
      </x:c>
    </x:row>
    <x:row r="146">
      <x:c r="A146"/>
      <x:c r="B146"/>
      <x:c r="C146"/>
      <x:c r="D146"/>
      <x:c r="E146"/>
      <x:c r="F146"/>
      <x:c r="G146"/>
      <x:c r="H146"/>
      <x:c r="I146"/>
      <x:c r="J146" t="str">
        <x:f>IF(OR(H146="",I146=""),"",ABS(H146-I146))</x:f>
      </x:c>
      <x:c r="K146" t="str">
        <x:f>IF(J146="","",IF(J146&lt;=1,"",IF(J146&lt;=2,"재확인","우선검토")))</x:f>
      </x:c>
    </x:row>
    <x:row r="147">
      <x:c r="A147"/>
      <x:c r="B147"/>
      <x:c r="C147"/>
      <x:c r="D147"/>
      <x:c r="E147"/>
      <x:c r="F147"/>
      <x:c r="G147"/>
      <x:c r="H147"/>
      <x:c r="I147"/>
      <x:c r="J147" t="str">
        <x:f>IF(OR(H147="",I147=""),"",ABS(H147-I147))</x:f>
      </x:c>
      <x:c r="K147" t="str">
        <x:f>IF(J147="","",IF(J147&lt;=1,"",IF(J147&lt;=2,"재확인","우선검토")))</x:f>
      </x:c>
    </x:row>
    <x:row r="148">
      <x:c r="A148"/>
      <x:c r="B148"/>
      <x:c r="C148"/>
      <x:c r="D148"/>
      <x:c r="E148"/>
      <x:c r="F148"/>
      <x:c r="G148"/>
      <x:c r="H148"/>
      <x:c r="I148"/>
      <x:c r="J148" t="str">
        <x:f>IF(OR(H148="",I148=""),"",ABS(H148-I148))</x:f>
      </x:c>
      <x:c r="K148" t="str">
        <x:f>IF(J148="","",IF(J148&lt;=1,"",IF(J148&lt;=2,"재확인","우선검토")))</x:f>
      </x:c>
    </x:row>
    <x:row r="149">
      <x:c r="A149"/>
      <x:c r="B149"/>
      <x:c r="C149"/>
      <x:c r="D149"/>
      <x:c r="E149"/>
      <x:c r="F149"/>
      <x:c r="G149"/>
      <x:c r="H149"/>
      <x:c r="I149"/>
      <x:c r="J149" t="str">
        <x:f>IF(OR(H149="",I149=""),"",ABS(H149-I149))</x:f>
      </x:c>
      <x:c r="K149" t="str">
        <x:f>IF(J149="","",IF(J149&lt;=1,"",IF(J149&lt;=2,"재확인","우선검토")))</x:f>
      </x:c>
    </x:row>
    <x:row r="150">
      <x:c r="A150"/>
      <x:c r="B150"/>
      <x:c r="C150"/>
      <x:c r="D150"/>
      <x:c r="E150"/>
      <x:c r="F150"/>
      <x:c r="G150"/>
      <x:c r="H150"/>
      <x:c r="I150"/>
      <x:c r="J150" t="str">
        <x:f>IF(OR(H150="",I150=""),"",ABS(H150-I150))</x:f>
      </x:c>
      <x:c r="K150" t="str">
        <x:f>IF(J150="","",IF(J150&lt;=1,"",IF(J150&lt;=2,"재확인","우선검토")))</x:f>
      </x:c>
    </x:row>
    <x:row r="151">
      <x:c r="A151"/>
      <x:c r="B151"/>
      <x:c r="C151"/>
      <x:c r="D151"/>
      <x:c r="E151"/>
      <x:c r="F151"/>
      <x:c r="G151"/>
      <x:c r="H151"/>
      <x:c r="I151"/>
      <x:c r="J151" t="str">
        <x:f>IF(OR(H151="",I151=""),"",ABS(H151-I151))</x:f>
      </x:c>
      <x:c r="K151" t="str">
        <x:f>IF(J151="","",IF(J151&lt;=1,"",IF(J151&lt;=2,"재확인","우선검토")))</x:f>
      </x:c>
    </x:row>
    <x:row r="152">
      <x:c r="A152"/>
      <x:c r="B152"/>
      <x:c r="C152"/>
      <x:c r="D152"/>
      <x:c r="E152"/>
      <x:c r="F152"/>
      <x:c r="G152"/>
      <x:c r="H152"/>
      <x:c r="I152"/>
      <x:c r="J152" t="str">
        <x:f>IF(OR(H152="",I152=""),"",ABS(H152-I152))</x:f>
      </x:c>
      <x:c r="K152" t="str">
        <x:f>IF(J152="","",IF(J152&lt;=1,"",IF(J152&lt;=2,"재확인","우선검토")))</x:f>
      </x:c>
    </x:row>
    <x:row r="153">
      <x:c r="A153"/>
      <x:c r="B153"/>
      <x:c r="C153"/>
      <x:c r="D153"/>
      <x:c r="E153"/>
      <x:c r="F153"/>
      <x:c r="G153"/>
      <x:c r="H153"/>
      <x:c r="I153"/>
      <x:c r="J153" t="str">
        <x:f>IF(OR(H153="",I153=""),"",ABS(H153-I153))</x:f>
      </x:c>
      <x:c r="K153" t="str">
        <x:f>IF(J153="","",IF(J153&lt;=1,"",IF(J153&lt;=2,"재확인","우선검토")))</x:f>
      </x:c>
    </x:row>
    <x:row r="154">
      <x:c r="A154"/>
      <x:c r="B154"/>
      <x:c r="C154"/>
      <x:c r="D154"/>
      <x:c r="E154"/>
      <x:c r="F154"/>
      <x:c r="G154"/>
      <x:c r="H154"/>
      <x:c r="I154"/>
      <x:c r="J154" t="str">
        <x:f>IF(OR(H154="",I154=""),"",ABS(H154-I154))</x:f>
      </x:c>
      <x:c r="K154" t="str">
        <x:f>IF(J154="","",IF(J154&lt;=1,"",IF(J154&lt;=2,"재확인","우선검토")))</x:f>
      </x:c>
    </x:row>
    <x:row r="155">
      <x:c r="A155"/>
      <x:c r="B155"/>
      <x:c r="C155"/>
      <x:c r="D155"/>
      <x:c r="E155"/>
      <x:c r="F155"/>
      <x:c r="G155"/>
      <x:c r="H155"/>
      <x:c r="I155"/>
      <x:c r="J155" t="str">
        <x:f>IF(OR(H155="",I155=""),"",ABS(H155-I155))</x:f>
      </x:c>
      <x:c r="K155" t="str">
        <x:f>IF(J155="","",IF(J155&lt;=1,"",IF(J155&lt;=2,"재확인","우선검토")))</x:f>
      </x:c>
    </x:row>
    <x:row r="156">
      <x:c r="A156"/>
      <x:c r="B156"/>
      <x:c r="C156"/>
      <x:c r="D156"/>
      <x:c r="E156"/>
      <x:c r="F156"/>
      <x:c r="G156"/>
      <x:c r="H156"/>
      <x:c r="I156"/>
      <x:c r="J156" t="str">
        <x:f>IF(OR(H156="",I156=""),"",ABS(H156-I156))</x:f>
      </x:c>
      <x:c r="K156" t="str">
        <x:f>IF(J156="","",IF(J156&lt;=1,"",IF(J156&lt;=2,"재확인","우선검토")))</x:f>
      </x:c>
    </x:row>
    <x:row r="157">
      <x:c r="A157"/>
      <x:c r="B157"/>
      <x:c r="C157"/>
      <x:c r="D157"/>
      <x:c r="E157"/>
      <x:c r="F157"/>
      <x:c r="G157"/>
      <x:c r="H157"/>
      <x:c r="I157"/>
      <x:c r="J157" t="str">
        <x:f>IF(OR(H157="",I157=""),"",ABS(H157-I157))</x:f>
      </x:c>
      <x:c r="K157" t="str">
        <x:f>IF(J157="","",IF(J157&lt;=1,"",IF(J157&lt;=2,"재확인","우선검토")))</x:f>
      </x:c>
    </x:row>
    <x:row r="158">
      <x:c r="A158"/>
      <x:c r="B158"/>
      <x:c r="C158"/>
      <x:c r="D158"/>
      <x:c r="E158"/>
      <x:c r="F158"/>
      <x:c r="G158"/>
      <x:c r="H158"/>
      <x:c r="I158"/>
      <x:c r="J158" t="str">
        <x:f>IF(OR(H158="",I158=""),"",ABS(H158-I158))</x:f>
      </x:c>
      <x:c r="K158" t="str">
        <x:f>IF(J158="","",IF(J158&lt;=1,"",IF(J158&lt;=2,"재확인","우선검토")))</x:f>
      </x:c>
    </x:row>
    <x:row r="159">
      <x:c r="A159"/>
      <x:c r="B159"/>
      <x:c r="C159"/>
      <x:c r="D159"/>
      <x:c r="E159"/>
      <x:c r="F159"/>
      <x:c r="G159"/>
      <x:c r="H159"/>
      <x:c r="I159"/>
      <x:c r="J159" t="str">
        <x:f>IF(OR(H159="",I159=""),"",ABS(H159-I159))</x:f>
      </x:c>
      <x:c r="K159" t="str">
        <x:f>IF(J159="","",IF(J159&lt;=1,"",IF(J159&lt;=2,"재확인","우선검토")))</x:f>
      </x:c>
    </x:row>
    <x:row r="160">
      <x:c r="A160"/>
      <x:c r="B160"/>
      <x:c r="C160"/>
      <x:c r="D160"/>
      <x:c r="E160"/>
      <x:c r="F160"/>
      <x:c r="G160"/>
      <x:c r="H160"/>
      <x:c r="I160"/>
      <x:c r="J160" t="str">
        <x:f>IF(OR(H160="",I160=""),"",ABS(H160-I160))</x:f>
      </x:c>
      <x:c r="K160" t="str">
        <x:f>IF(J160="","",IF(J160&lt;=1,"",IF(J160&lt;=2,"재확인","우선검토")))</x:f>
      </x:c>
    </x:row>
    <x:row r="161">
      <x:c r="A161"/>
      <x:c r="B161"/>
      <x:c r="C161"/>
      <x:c r="D161"/>
      <x:c r="E161"/>
      <x:c r="F161"/>
      <x:c r="G161"/>
      <x:c r="H161"/>
      <x:c r="I161"/>
      <x:c r="J161" t="str">
        <x:f>IF(OR(H161="",I161=""),"",ABS(H161-I161))</x:f>
      </x:c>
      <x:c r="K161" t="str">
        <x:f>IF(J161="","",IF(J161&lt;=1,"",IF(J161&lt;=2,"재확인","우선검토")))</x:f>
      </x:c>
    </x:row>
    <x:row r="162">
      <x:c r="A162"/>
      <x:c r="B162"/>
      <x:c r="C162"/>
      <x:c r="D162"/>
      <x:c r="E162"/>
      <x:c r="F162"/>
      <x:c r="G162"/>
      <x:c r="H162"/>
      <x:c r="I162"/>
      <x:c r="J162" t="str">
        <x:f>IF(OR(H162="",I162=""),"",ABS(H162-I162))</x:f>
      </x:c>
      <x:c r="K162" t="str">
        <x:f>IF(J162="","",IF(J162&lt;=1,"",IF(J162&lt;=2,"재확인","우선검토")))</x:f>
      </x:c>
    </x:row>
    <x:row r="163">
      <x:c r="A163"/>
      <x:c r="B163"/>
      <x:c r="C163"/>
      <x:c r="D163"/>
      <x:c r="E163"/>
      <x:c r="F163"/>
      <x:c r="G163"/>
      <x:c r="H163"/>
      <x:c r="I163"/>
      <x:c r="J163" t="str">
        <x:f>IF(OR(H163="",I163=""),"",ABS(H163-I163))</x:f>
      </x:c>
      <x:c r="K163" t="str">
        <x:f>IF(J163="","",IF(J163&lt;=1,"",IF(J163&lt;=2,"재확인","우선검토")))</x:f>
      </x:c>
    </x:row>
    <x:row r="164">
      <x:c r="A164"/>
      <x:c r="B164"/>
      <x:c r="C164"/>
      <x:c r="D164"/>
      <x:c r="E164"/>
      <x:c r="F164"/>
      <x:c r="G164"/>
      <x:c r="H164"/>
      <x:c r="I164"/>
      <x:c r="J164" t="str">
        <x:f>IF(OR(H164="",I164=""),"",ABS(H164-I164))</x:f>
      </x:c>
      <x:c r="K164" t="str">
        <x:f>IF(J164="","",IF(J164&lt;=1,"",IF(J164&lt;=2,"재확인","우선검토")))</x:f>
      </x:c>
    </x:row>
    <x:row r="165">
      <x:c r="A165"/>
      <x:c r="B165"/>
      <x:c r="C165"/>
      <x:c r="D165"/>
      <x:c r="E165"/>
      <x:c r="F165"/>
      <x:c r="G165"/>
      <x:c r="H165"/>
      <x:c r="I165"/>
      <x:c r="J165" t="str">
        <x:f>IF(OR(H165="",I165=""),"",ABS(H165-I165))</x:f>
      </x:c>
      <x:c r="K165" t="str">
        <x:f>IF(J165="","",IF(J165&lt;=1,"",IF(J165&lt;=2,"재확인","우선검토")))</x:f>
      </x:c>
    </x:row>
    <x:row r="166">
      <x:c r="A166"/>
      <x:c r="B166"/>
      <x:c r="C166"/>
      <x:c r="D166"/>
      <x:c r="E166"/>
      <x:c r="F166"/>
      <x:c r="G166"/>
      <x:c r="H166"/>
      <x:c r="I166"/>
      <x:c r="J166" t="str">
        <x:f>IF(OR(H166="",I166=""),"",ABS(H166-I166))</x:f>
      </x:c>
      <x:c r="K166" t="str">
        <x:f>IF(J166="","",IF(J166&lt;=1,"",IF(J166&lt;=2,"재확인","우선검토")))</x:f>
      </x:c>
    </x:row>
    <x:row r="167">
      <x:c r="A167"/>
      <x:c r="B167"/>
      <x:c r="C167"/>
      <x:c r="D167"/>
      <x:c r="E167"/>
      <x:c r="F167"/>
      <x:c r="G167"/>
      <x:c r="H167"/>
      <x:c r="I167"/>
      <x:c r="J167" t="str">
        <x:f>IF(OR(H167="",I167=""),"",ABS(H167-I167))</x:f>
      </x:c>
      <x:c r="K167" t="str">
        <x:f>IF(J167="","",IF(J167&lt;=1,"",IF(J167&lt;=2,"재확인","우선검토")))</x:f>
      </x:c>
    </x:row>
    <x:row r="168">
      <x:c r="A168"/>
      <x:c r="B168"/>
      <x:c r="C168"/>
      <x:c r="D168"/>
      <x:c r="E168"/>
      <x:c r="F168"/>
      <x:c r="G168"/>
      <x:c r="H168"/>
      <x:c r="I168"/>
      <x:c r="J168" t="str">
        <x:f>IF(OR(H168="",I168=""),"",ABS(H168-I168))</x:f>
      </x:c>
      <x:c r="K168" t="str">
        <x:f>IF(J168="","",IF(J168&lt;=1,"",IF(J168&lt;=2,"재확인","우선검토")))</x:f>
      </x:c>
    </x:row>
    <x:row r="169">
      <x:c r="A169"/>
      <x:c r="B169"/>
      <x:c r="C169"/>
      <x:c r="D169"/>
      <x:c r="E169"/>
      <x:c r="F169"/>
      <x:c r="G169"/>
      <x:c r="H169"/>
      <x:c r="I169"/>
      <x:c r="J169" t="str">
        <x:f>IF(OR(H169="",I169=""),"",ABS(H169-I169))</x:f>
      </x:c>
      <x:c r="K169" t="str">
        <x:f>IF(J169="","",IF(J169&lt;=1,"",IF(J169&lt;=2,"재확인","우선검토")))</x:f>
      </x:c>
    </x:row>
    <x:row r="170">
      <x:c r="A170"/>
      <x:c r="B170"/>
      <x:c r="C170"/>
      <x:c r="D170"/>
      <x:c r="E170"/>
      <x:c r="F170"/>
      <x:c r="G170"/>
      <x:c r="H170"/>
      <x:c r="I170"/>
      <x:c r="J170" t="str">
        <x:f>IF(OR(H170="",I170=""),"",ABS(H170-I170))</x:f>
      </x:c>
      <x:c r="K170" t="str">
        <x:f>IF(J170="","",IF(J170&lt;=1,"",IF(J170&lt;=2,"재확인","우선검토")))</x:f>
      </x:c>
    </x:row>
    <x:row r="171">
      <x:c r="A171"/>
      <x:c r="B171"/>
      <x:c r="C171"/>
      <x:c r="D171"/>
      <x:c r="E171"/>
      <x:c r="F171"/>
      <x:c r="G171"/>
      <x:c r="H171"/>
      <x:c r="I171"/>
      <x:c r="J171" t="str">
        <x:f>IF(OR(H171="",I171=""),"",ABS(H171-I171))</x:f>
      </x:c>
      <x:c r="K171" t="str">
        <x:f>IF(J171="","",IF(J171&lt;=1,"",IF(J171&lt;=2,"재확인","우선검토")))</x:f>
      </x:c>
    </x:row>
    <x:row r="172">
      <x:c r="A172"/>
      <x:c r="B172"/>
      <x:c r="C172"/>
      <x:c r="D172"/>
      <x:c r="E172"/>
      <x:c r="F172"/>
      <x:c r="G172"/>
      <x:c r="H172"/>
      <x:c r="I172"/>
      <x:c r="J172" t="str">
        <x:f>IF(OR(H172="",I172=""),"",ABS(H172-I172))</x:f>
      </x:c>
      <x:c r="K172" t="str">
        <x:f>IF(J172="","",IF(J172&lt;=1,"",IF(J172&lt;=2,"재확인","우선검토")))</x:f>
      </x:c>
    </x:row>
    <x:row r="173">
      <x:c r="A173"/>
      <x:c r="B173"/>
      <x:c r="C173"/>
      <x:c r="D173"/>
      <x:c r="E173"/>
      <x:c r="F173"/>
      <x:c r="G173"/>
      <x:c r="H173"/>
      <x:c r="I173"/>
      <x:c r="J173" t="str">
        <x:f>IF(OR(H173="",I173=""),"",ABS(H173-I173))</x:f>
      </x:c>
      <x:c r="K173" t="str">
        <x:f>IF(J173="","",IF(J173&lt;=1,"",IF(J173&lt;=2,"재확인","우선검토")))</x:f>
      </x:c>
    </x:row>
    <x:row r="174">
      <x:c r="A174"/>
      <x:c r="B174"/>
      <x:c r="C174"/>
      <x:c r="D174"/>
      <x:c r="E174"/>
      <x:c r="F174"/>
      <x:c r="G174"/>
      <x:c r="H174"/>
      <x:c r="I174"/>
      <x:c r="J174" t="str">
        <x:f>IF(OR(H174="",I174=""),"",ABS(H174-I174))</x:f>
      </x:c>
      <x:c r="K174" t="str">
        <x:f>IF(J174="","",IF(J174&lt;=1,"",IF(J174&lt;=2,"재확인","우선검토")))</x:f>
      </x:c>
    </x:row>
    <x:row r="175">
      <x:c r="A175"/>
      <x:c r="B175"/>
      <x:c r="C175"/>
      <x:c r="D175"/>
      <x:c r="E175"/>
      <x:c r="F175"/>
      <x:c r="G175"/>
      <x:c r="H175"/>
      <x:c r="I175"/>
      <x:c r="J175" t="str">
        <x:f>IF(OR(H175="",I175=""),"",ABS(H175-I175))</x:f>
      </x:c>
      <x:c r="K175" t="str">
        <x:f>IF(J175="","",IF(J175&lt;=1,"",IF(J175&lt;=2,"재확인","우선검토")))</x:f>
      </x:c>
    </x:row>
    <x:row r="176">
      <x:c r="A176"/>
      <x:c r="B176"/>
      <x:c r="C176"/>
      <x:c r="D176"/>
      <x:c r="E176"/>
      <x:c r="F176"/>
      <x:c r="G176"/>
      <x:c r="H176"/>
      <x:c r="I176"/>
      <x:c r="J176" t="str">
        <x:f>IF(OR(H176="",I176=""),"",ABS(H176-I176))</x:f>
      </x:c>
      <x:c r="K176" t="str">
        <x:f>IF(J176="","",IF(J176&lt;=1,"",IF(J176&lt;=2,"재확인","우선검토")))</x:f>
      </x:c>
    </x:row>
    <x:row r="177">
      <x:c r="A177"/>
      <x:c r="B177"/>
      <x:c r="C177"/>
      <x:c r="D177"/>
      <x:c r="E177"/>
      <x:c r="F177"/>
      <x:c r="G177"/>
      <x:c r="H177"/>
      <x:c r="I177"/>
      <x:c r="J177" t="str">
        <x:f>IF(OR(H177="",I177=""),"",ABS(H177-I177))</x:f>
      </x:c>
      <x:c r="K177" t="str">
        <x:f>IF(J177="","",IF(J177&lt;=1,"",IF(J177&lt;=2,"재확인","우선검토")))</x:f>
      </x:c>
    </x:row>
    <x:row r="178">
      <x:c r="A178"/>
      <x:c r="B178"/>
      <x:c r="C178"/>
      <x:c r="D178"/>
      <x:c r="E178"/>
      <x:c r="F178"/>
      <x:c r="G178"/>
      <x:c r="H178"/>
      <x:c r="I178"/>
      <x:c r="J178" t="str">
        <x:f>IF(OR(H178="",I178=""),"",ABS(H178-I178))</x:f>
      </x:c>
      <x:c r="K178" t="str">
        <x:f>IF(J178="","",IF(J178&lt;=1,"",IF(J178&lt;=2,"재확인","우선검토")))</x:f>
      </x:c>
    </x:row>
    <x:row r="179">
      <x:c r="A179"/>
      <x:c r="B179"/>
      <x:c r="C179"/>
      <x:c r="D179"/>
      <x:c r="E179"/>
      <x:c r="F179"/>
      <x:c r="G179"/>
      <x:c r="H179"/>
      <x:c r="I179"/>
      <x:c r="J179" t="str">
        <x:f>IF(OR(H179="",I179=""),"",ABS(H179-I179))</x:f>
      </x:c>
      <x:c r="K179" t="str">
        <x:f>IF(J179="","",IF(J179&lt;=1,"",IF(J179&lt;=2,"재확인","우선검토")))</x:f>
      </x:c>
    </x:row>
    <x:row r="180">
      <x:c r="A180"/>
      <x:c r="B180"/>
      <x:c r="C180"/>
      <x:c r="D180"/>
      <x:c r="E180"/>
      <x:c r="F180"/>
      <x:c r="G180"/>
      <x:c r="H180"/>
      <x:c r="I180"/>
      <x:c r="J180" t="str">
        <x:f>IF(OR(H180="",I180=""),"",ABS(H180-I180))</x:f>
      </x:c>
      <x:c r="K180" t="str">
        <x:f>IF(J180="","",IF(J180&lt;=1,"",IF(J180&lt;=2,"재확인","우선검토")))</x:f>
      </x:c>
    </x:row>
    <x:row r="181">
      <x:c r="A181"/>
      <x:c r="B181"/>
      <x:c r="C181"/>
      <x:c r="D181"/>
      <x:c r="E181"/>
      <x:c r="F181"/>
      <x:c r="G181"/>
      <x:c r="H181"/>
      <x:c r="I181"/>
      <x:c r="J181" t="str">
        <x:f>IF(OR(H181="",I181=""),"",ABS(H181-I181))</x:f>
      </x:c>
      <x:c r="K181" t="str">
        <x:f>IF(J181="","",IF(J181&lt;=1,"",IF(J181&lt;=2,"재확인","우선검토")))</x:f>
      </x:c>
    </x:row>
    <x:row r="182">
      <x:c r="A182"/>
      <x:c r="B182"/>
      <x:c r="C182"/>
      <x:c r="D182"/>
      <x:c r="E182"/>
      <x:c r="F182"/>
      <x:c r="G182"/>
      <x:c r="H182"/>
      <x:c r="I182"/>
      <x:c r="J182" t="str">
        <x:f>IF(OR(H182="",I182=""),"",ABS(H182-I182))</x:f>
      </x:c>
      <x:c r="K182" t="str">
        <x:f>IF(J182="","",IF(J182&lt;=1,"",IF(J182&lt;=2,"재확인","우선검토")))</x:f>
      </x:c>
    </x:row>
    <x:row r="183">
      <x:c r="A183"/>
      <x:c r="B183"/>
      <x:c r="C183"/>
      <x:c r="D183"/>
      <x:c r="E183"/>
      <x:c r="F183"/>
      <x:c r="G183"/>
      <x:c r="H183"/>
      <x:c r="I183"/>
      <x:c r="J183" t="str">
        <x:f>IF(OR(H183="",I183=""),"",ABS(H183-I183))</x:f>
      </x:c>
      <x:c r="K183" t="str">
        <x:f>IF(J183="","",IF(J183&lt;=1,"",IF(J183&lt;=2,"재확인","우선검토")))</x:f>
      </x:c>
    </x:row>
    <x:row r="184">
      <x:c r="A184"/>
      <x:c r="B184"/>
      <x:c r="C184"/>
      <x:c r="D184"/>
      <x:c r="E184"/>
      <x:c r="F184"/>
      <x:c r="G184"/>
      <x:c r="H184"/>
      <x:c r="I184"/>
      <x:c r="J184" t="str">
        <x:f>IF(OR(H184="",I184=""),"",ABS(H184-I184))</x:f>
      </x:c>
      <x:c r="K184" t="str">
        <x:f>IF(J184="","",IF(J184&lt;=1,"",IF(J184&lt;=2,"재확인","우선검토")))</x:f>
      </x:c>
    </x:row>
    <x:row r="185">
      <x:c r="A185"/>
      <x:c r="B185"/>
      <x:c r="C185"/>
      <x:c r="D185"/>
      <x:c r="E185"/>
      <x:c r="F185"/>
      <x:c r="G185"/>
      <x:c r="H185"/>
      <x:c r="I185"/>
      <x:c r="J185" t="str">
        <x:f>IF(OR(H185="",I185=""),"",ABS(H185-I185))</x:f>
      </x:c>
      <x:c r="K185" t="str">
        <x:f>IF(J185="","",IF(J185&lt;=1,"",IF(J185&lt;=2,"재확인","우선검토")))</x:f>
      </x:c>
    </x:row>
    <x:row r="186">
      <x:c r="A186"/>
      <x:c r="B186"/>
      <x:c r="C186"/>
      <x:c r="D186"/>
      <x:c r="E186"/>
      <x:c r="F186"/>
      <x:c r="G186"/>
      <x:c r="H186"/>
      <x:c r="I186"/>
      <x:c r="J186" t="str">
        <x:f>IF(OR(H186="",I186=""),"",ABS(H186-I186))</x:f>
      </x:c>
      <x:c r="K186" t="str">
        <x:f>IF(J186="","",IF(J186&lt;=1,"",IF(J186&lt;=2,"재확인","우선검토")))</x:f>
      </x:c>
    </x:row>
    <x:row r="187">
      <x:c r="A187"/>
      <x:c r="B187"/>
      <x:c r="C187"/>
      <x:c r="D187"/>
      <x:c r="E187"/>
      <x:c r="F187"/>
      <x:c r="G187"/>
      <x:c r="H187"/>
      <x:c r="I187"/>
      <x:c r="J187" t="str">
        <x:f>IF(OR(H187="",I187=""),"",ABS(H187-I187))</x:f>
      </x:c>
      <x:c r="K187" t="str">
        <x:f>IF(J187="","",IF(J187&lt;=1,"",IF(J187&lt;=2,"재확인","우선검토")))</x:f>
      </x:c>
    </x:row>
    <x:row r="188">
      <x:c r="A188"/>
      <x:c r="B188"/>
      <x:c r="C188"/>
      <x:c r="D188"/>
      <x:c r="E188"/>
      <x:c r="F188"/>
      <x:c r="G188"/>
      <x:c r="H188"/>
      <x:c r="I188"/>
      <x:c r="J188" t="str">
        <x:f>IF(OR(H188="",I188=""),"",ABS(H188-I188))</x:f>
      </x:c>
      <x:c r="K188" t="str">
        <x:f>IF(J188="","",IF(J188&lt;=1,"",IF(J188&lt;=2,"재확인","우선검토")))</x:f>
      </x:c>
    </x:row>
    <x:row r="189">
      <x:c r="A189"/>
      <x:c r="B189"/>
      <x:c r="C189"/>
      <x:c r="D189"/>
      <x:c r="E189"/>
      <x:c r="F189"/>
      <x:c r="G189"/>
      <x:c r="H189"/>
      <x:c r="I189"/>
      <x:c r="J189" t="str">
        <x:f>IF(OR(H189="",I189=""),"",ABS(H189-I189))</x:f>
      </x:c>
      <x:c r="K189" t="str">
        <x:f>IF(J189="","",IF(J189&lt;=1,"",IF(J189&lt;=2,"재확인","우선검토")))</x:f>
      </x:c>
    </x:row>
    <x:row r="190">
      <x:c r="A190"/>
      <x:c r="B190"/>
      <x:c r="C190"/>
      <x:c r="D190"/>
      <x:c r="E190"/>
      <x:c r="F190"/>
      <x:c r="G190"/>
      <x:c r="H190"/>
      <x:c r="I190"/>
      <x:c r="J190" t="str">
        <x:f>IF(OR(H190="",I190=""),"",ABS(H190-I190))</x:f>
      </x:c>
      <x:c r="K190" t="str">
        <x:f>IF(J190="","",IF(J190&lt;=1,"",IF(J190&lt;=2,"재확인","우선검토")))</x:f>
      </x:c>
    </x:row>
    <x:row r="191">
      <x:c r="A191"/>
      <x:c r="B191"/>
      <x:c r="C191"/>
      <x:c r="D191"/>
      <x:c r="E191"/>
      <x:c r="F191"/>
      <x:c r="G191"/>
      <x:c r="H191"/>
      <x:c r="I191"/>
      <x:c r="J191" t="str">
        <x:f>IF(OR(H191="",I191=""),"",ABS(H191-I191))</x:f>
      </x:c>
      <x:c r="K191" t="str">
        <x:f>IF(J191="","",IF(J191&lt;=1,"",IF(J191&lt;=2,"재확인","우선검토")))</x:f>
      </x:c>
    </x:row>
    <x:row r="192">
      <x:c r="A192"/>
      <x:c r="B192"/>
      <x:c r="C192"/>
      <x:c r="D192"/>
      <x:c r="E192"/>
      <x:c r="F192"/>
      <x:c r="G192"/>
      <x:c r="H192"/>
      <x:c r="I192"/>
      <x:c r="J192" t="str">
        <x:f>IF(OR(H192="",I192=""),"",ABS(H192-I192))</x:f>
      </x:c>
      <x:c r="K192" t="str">
        <x:f>IF(J192="","",IF(J192&lt;=1,"",IF(J192&lt;=2,"재확인","우선검토")))</x:f>
      </x:c>
    </x:row>
    <x:row r="193">
      <x:c r="A193"/>
      <x:c r="B193"/>
      <x:c r="C193"/>
      <x:c r="D193"/>
      <x:c r="E193"/>
      <x:c r="F193"/>
      <x:c r="G193"/>
      <x:c r="H193"/>
      <x:c r="I193"/>
      <x:c r="J193" t="str">
        <x:f>IF(OR(H193="",I193=""),"",ABS(H193-I193))</x:f>
      </x:c>
      <x:c r="K193" t="str">
        <x:f>IF(J193="","",IF(J193&lt;=1,"",IF(J193&lt;=2,"재확인","우선검토")))</x:f>
      </x:c>
    </x:row>
    <x:row r="194">
      <x:c r="A194"/>
      <x:c r="B194"/>
      <x:c r="C194"/>
      <x:c r="D194"/>
      <x:c r="E194"/>
      <x:c r="F194"/>
      <x:c r="G194"/>
      <x:c r="H194"/>
      <x:c r="I194"/>
      <x:c r="J194" t="str">
        <x:f>IF(OR(H194="",I194=""),"",ABS(H194-I194))</x:f>
      </x:c>
      <x:c r="K194" t="str">
        <x:f>IF(J194="","",IF(J194&lt;=1,"",IF(J194&lt;=2,"재확인","우선검토")))</x:f>
      </x:c>
    </x:row>
    <x:row r="195">
      <x:c r="A195"/>
      <x:c r="B195"/>
      <x:c r="C195"/>
      <x:c r="D195"/>
      <x:c r="E195"/>
      <x:c r="F195"/>
      <x:c r="G195"/>
      <x:c r="H195"/>
      <x:c r="I195"/>
      <x:c r="J195" t="str">
        <x:f>IF(OR(H195="",I195=""),"",ABS(H195-I195))</x:f>
      </x:c>
      <x:c r="K195" t="str">
        <x:f>IF(J195="","",IF(J195&lt;=1,"",IF(J195&lt;=2,"재확인","우선검토")))</x:f>
      </x:c>
    </x:row>
    <x:row r="196">
      <x:c r="A196"/>
      <x:c r="B196"/>
      <x:c r="C196"/>
      <x:c r="D196"/>
      <x:c r="E196"/>
      <x:c r="F196"/>
      <x:c r="G196"/>
      <x:c r="H196"/>
      <x:c r="I196"/>
      <x:c r="J196" t="str">
        <x:f>IF(OR(H196="",I196=""),"",ABS(H196-I196))</x:f>
      </x:c>
      <x:c r="K196" t="str">
        <x:f>IF(J196="","",IF(J196&lt;=1,"",IF(J196&lt;=2,"재확인","우선검토")))</x:f>
      </x:c>
    </x:row>
    <x:row r="197">
      <x:c r="A197"/>
      <x:c r="B197"/>
      <x:c r="C197"/>
      <x:c r="D197"/>
      <x:c r="E197"/>
      <x:c r="F197"/>
      <x:c r="G197"/>
      <x:c r="H197"/>
      <x:c r="I197"/>
      <x:c r="J197" t="str">
        <x:f>IF(OR(H197="",I197=""),"",ABS(H197-I197))</x:f>
      </x:c>
      <x:c r="K197" t="str">
        <x:f>IF(J197="","",IF(J197&lt;=1,"",IF(J197&lt;=2,"재확인","우선검토")))</x:f>
      </x:c>
    </x:row>
    <x:row r="198">
      <x:c r="A198"/>
      <x:c r="B198"/>
      <x:c r="C198"/>
      <x:c r="D198"/>
      <x:c r="E198"/>
      <x:c r="F198"/>
      <x:c r="G198"/>
      <x:c r="H198"/>
      <x:c r="I198"/>
      <x:c r="J198" t="str">
        <x:f>IF(OR(H198="",I198=""),"",ABS(H198-I198))</x:f>
      </x:c>
      <x:c r="K198" t="str">
        <x:f>IF(J198="","",IF(J198&lt;=1,"",IF(J198&lt;=2,"재확인","우선검토")))</x:f>
      </x:c>
    </x:row>
    <x:row r="199">
      <x:c r="A199"/>
      <x:c r="B199"/>
      <x:c r="C199"/>
      <x:c r="D199"/>
      <x:c r="E199"/>
      <x:c r="F199"/>
      <x:c r="G199"/>
      <x:c r="H199"/>
      <x:c r="I199"/>
      <x:c r="J199" t="str">
        <x:f>IF(OR(H199="",I199=""),"",ABS(H199-I199))</x:f>
      </x:c>
      <x:c r="K199" t="str">
        <x:f>IF(J199="","",IF(J199&lt;=1,"",IF(J199&lt;=2,"재확인","우선검토")))</x:f>
      </x:c>
    </x:row>
    <x:row r="200">
      <x:c r="A200"/>
      <x:c r="B200"/>
      <x:c r="C200"/>
      <x:c r="D200"/>
      <x:c r="E200"/>
      <x:c r="F200"/>
      <x:c r="G200"/>
      <x:c r="H200"/>
      <x:c r="I200"/>
      <x:c r="J200" t="str">
        <x:f>IF(OR(H200="",I200=""),"",ABS(H200-I200))</x:f>
      </x:c>
      <x:c r="K200" t="str">
        <x:f>IF(J200="","",IF(J200&lt;=1,"",IF(J200&lt;=2,"재확인","우선검토")))</x:f>
      </x:c>
    </x:row>
    <x:row r="201">
      <x:c r="A201"/>
      <x:c r="B201"/>
      <x:c r="C201"/>
      <x:c r="D201"/>
      <x:c r="E201"/>
      <x:c r="F201"/>
      <x:c r="G201"/>
      <x:c r="H201"/>
      <x:c r="I201"/>
      <x:c r="J201" t="str">
        <x:f>IF(OR(H201="",I201=""),"",ABS(H201-I201))</x:f>
      </x:c>
      <x:c r="K201" t="str">
        <x:f>IF(J201="","",IF(J201&lt;=1,"",IF(J201&lt;=2,"재확인","우선검토")))</x:f>
      </x:c>
    </x:row>
  </x:sheetData>
  <x:conditionalFormatting sqref="K2:K201">
    <x:cfRule type="expression" dxfId="2" priority="1">
      <x:formula>K2="우선검토"</x:formula>
    </x:cfRule>
  </x:conditionalFormatting>
  <x:dataValidations count="1">
    <x:dataValidation type="list" sqref="E2:E201">
      <x:formula1>"유사,반대,가치충돌"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38" hidden="0" customWidth="1"/>
  </x:cols>
  <x:sheetData>
    <x:row r="1">
      <x:c r="A1" s="28" t="str">
        <x:v>set_id</x:v>
      </x:c>
      <x:c r="B1" s="28" t="str">
        <x:v>A 점수</x:v>
      </x:c>
      <x:c r="C1" s="28" t="str">
        <x:v>B 점수</x:v>
      </x:c>
      <x:c r="D1" s="28" t="str">
        <x:v>C 점수</x:v>
      </x:c>
      <x:c r="E1" s="28" t="str">
        <x:v>가까움</x:v>
      </x:c>
      <x:c r="F1" s="28" t="str">
        <x:v>멂</x:v>
      </x:c>
      <x:c r="G1" s="28" t="str">
        <x:v>최고점 옵션</x:v>
      </x:c>
      <x:c r="H1" s="28" t="str">
        <x:v>최저점 옵션</x:v>
      </x:c>
      <x:c r="I1" s="28" t="str">
        <x:v>가까움 일치</x:v>
      </x:c>
      <x:c r="J1" s="28" t="str">
        <x:v>멂 일치</x:v>
      </x:c>
      <x:c r="K1" s="28" t="str">
        <x:v>검토 사유</x:v>
      </x:c>
    </x:row>
    <x:row r="2">
      <x:c r="A2"/>
      <x:c r="B2"/>
      <x:c r="C2"/>
      <x:c r="D2"/>
      <x:c r="E2"/>
      <x:c r="F2"/>
      <x:c r="G2" t="str">
        <x:f>IF(COUNT(B2:D2)&lt;3,"",IF(B2=MAX(B2:D2),"A",IF(C2=MAX(B2:D2),"B","C")))</x:f>
      </x:c>
      <x:c r="H2" t="str">
        <x:f>IF(COUNT(B2:D2)&lt;3,"",IF(B2=MIN(B2:D2),"A",IF(C2=MIN(B2:D2),"B","C")))</x:f>
      </x:c>
      <x:c r="I2" t="str">
        <x:f>IF(OR(E2="",G2=""),"",IF(E2=G2,"Y","N"))</x:f>
      </x:c>
      <x:c r="J2" t="str">
        <x:f>IF(OR(F2="",H2=""),"",IF(F2=H2,"Y","N"))</x:f>
      </x:c>
      <x:c r="K2" t="str">
        <x:f>IF(OR(I2="",J2=""),"",IF(AND(I2="Y",J2="Y"),"",IF(AND(I2="N",J2="N"),"가까움·멂 모두 점수와 불일치",IF(I2="N","가까움이 최고점과 불일치","멂이 최저점과 불일치"))))</x:f>
      </x:c>
    </x:row>
    <x:row r="3">
      <x:c r="A3"/>
      <x:c r="B3"/>
      <x:c r="C3"/>
      <x:c r="D3"/>
      <x:c r="E3"/>
      <x:c r="F3"/>
      <x:c r="G3" t="str">
        <x:f>IF(COUNT(B3:D3)&lt;3,"",IF(B3=MAX(B3:D3),"A",IF(C3=MAX(B3:D3),"B","C")))</x:f>
      </x:c>
      <x:c r="H3" t="str">
        <x:f>IF(COUNT(B3:D3)&lt;3,"",IF(B3=MIN(B3:D3),"A",IF(C3=MIN(B3:D3),"B","C")))</x:f>
      </x:c>
      <x:c r="I3" t="str">
        <x:f>IF(OR(E3="",G3=""),"",IF(E3=G3,"Y","N"))</x:f>
      </x:c>
      <x:c r="J3" t="str">
        <x:f>IF(OR(F3="",H3=""),"",IF(F3=H3,"Y","N"))</x:f>
      </x:c>
      <x:c r="K3" t="str">
        <x:f>IF(OR(I3="",J3=""),"",IF(AND(I3="Y",J3="Y"),"",IF(AND(I3="N",J3="N"),"가까움·멂 모두 점수와 불일치",IF(I3="N","가까움이 최고점과 불일치","멂이 최저점과 불일치"))))</x:f>
      </x:c>
    </x:row>
    <x:row r="4">
      <x:c r="A4"/>
      <x:c r="B4"/>
      <x:c r="C4"/>
      <x:c r="D4"/>
      <x:c r="E4"/>
      <x:c r="F4"/>
      <x:c r="G4" t="str">
        <x:f>IF(COUNT(B4:D4)&lt;3,"",IF(B4=MAX(B4:D4),"A",IF(C4=MAX(B4:D4),"B","C")))</x:f>
      </x:c>
      <x:c r="H4" t="str">
        <x:f>IF(COUNT(B4:D4)&lt;3,"",IF(B4=MIN(B4:D4),"A",IF(C4=MIN(B4:D4),"B","C")))</x:f>
      </x:c>
      <x:c r="I4" t="str">
        <x:f>IF(OR(E4="",G4=""),"",IF(E4=G4,"Y","N"))</x:f>
      </x:c>
      <x:c r="J4" t="str">
        <x:f>IF(OR(F4="",H4=""),"",IF(F4=H4,"Y","N"))</x:f>
      </x:c>
      <x:c r="K4" t="str">
        <x:f>IF(OR(I4="",J4=""),"",IF(AND(I4="Y",J4="Y"),"",IF(AND(I4="N",J4="N"),"가까움·멂 모두 점수와 불일치",IF(I4="N","가까움이 최고점과 불일치","멂이 최저점과 불일치"))))</x:f>
      </x:c>
    </x:row>
    <x:row r="5">
      <x:c r="A5"/>
      <x:c r="B5"/>
      <x:c r="C5"/>
      <x:c r="D5"/>
      <x:c r="E5"/>
      <x:c r="F5"/>
      <x:c r="G5" t="str">
        <x:f>IF(COUNT(B5:D5)&lt;3,"",IF(B5=MAX(B5:D5),"A",IF(C5=MAX(B5:D5),"B","C")))</x:f>
      </x:c>
      <x:c r="H5" t="str">
        <x:f>IF(COUNT(B5:D5)&lt;3,"",IF(B5=MIN(B5:D5),"A",IF(C5=MIN(B5:D5),"B","C")))</x:f>
      </x:c>
      <x:c r="I5" t="str">
        <x:f>IF(OR(E5="",G5=""),"",IF(E5=G5,"Y","N"))</x:f>
      </x:c>
      <x:c r="J5" t="str">
        <x:f>IF(OR(F5="",H5=""),"",IF(F5=H5,"Y","N"))</x:f>
      </x:c>
      <x:c r="K5" t="str">
        <x:f>IF(OR(I5="",J5=""),"",IF(AND(I5="Y",J5="Y"),"",IF(AND(I5="N",J5="N"),"가까움·멂 모두 점수와 불일치",IF(I5="N","가까움이 최고점과 불일치","멂이 최저점과 불일치"))))</x:f>
      </x:c>
    </x:row>
    <x:row r="6">
      <x:c r="A6"/>
      <x:c r="B6"/>
      <x:c r="C6"/>
      <x:c r="D6"/>
      <x:c r="E6"/>
      <x:c r="F6"/>
      <x:c r="G6" t="str">
        <x:f>IF(COUNT(B6:D6)&lt;3,"",IF(B6=MAX(B6:D6),"A",IF(C6=MAX(B6:D6),"B","C")))</x:f>
      </x:c>
      <x:c r="H6" t="str">
        <x:f>IF(COUNT(B6:D6)&lt;3,"",IF(B6=MIN(B6:D6),"A",IF(C6=MIN(B6:D6),"B","C")))</x:f>
      </x:c>
      <x:c r="I6" t="str">
        <x:f>IF(OR(E6="",G6=""),"",IF(E6=G6,"Y","N"))</x:f>
      </x:c>
      <x:c r="J6" t="str">
        <x:f>IF(OR(F6="",H6=""),"",IF(F6=H6,"Y","N"))</x:f>
      </x:c>
      <x:c r="K6" t="str">
        <x:f>IF(OR(I6="",J6=""),"",IF(AND(I6="Y",J6="Y"),"",IF(AND(I6="N",J6="N"),"가까움·멂 모두 점수와 불일치",IF(I6="N","가까움이 최고점과 불일치","멂이 최저점과 불일치"))))</x:f>
      </x:c>
    </x:row>
    <x:row r="7">
      <x:c r="A7"/>
      <x:c r="B7"/>
      <x:c r="C7"/>
      <x:c r="D7"/>
      <x:c r="E7"/>
      <x:c r="F7"/>
      <x:c r="G7" t="str">
        <x:f>IF(COUNT(B7:D7)&lt;3,"",IF(B7=MAX(B7:D7),"A",IF(C7=MAX(B7:D7),"B","C")))</x:f>
      </x:c>
      <x:c r="H7" t="str">
        <x:f>IF(COUNT(B7:D7)&lt;3,"",IF(B7=MIN(B7:D7),"A",IF(C7=MIN(B7:D7),"B","C")))</x:f>
      </x:c>
      <x:c r="I7" t="str">
        <x:f>IF(OR(E7="",G7=""),"",IF(E7=G7,"Y","N"))</x:f>
      </x:c>
      <x:c r="J7" t="str">
        <x:f>IF(OR(F7="",H7=""),"",IF(F7=H7,"Y","N"))</x:f>
      </x:c>
      <x:c r="K7" t="str">
        <x:f>IF(OR(I7="",J7=""),"",IF(AND(I7="Y",J7="Y"),"",IF(AND(I7="N",J7="N"),"가까움·멂 모두 점수와 불일치",IF(I7="N","가까움이 최고점과 불일치","멂이 최저점과 불일치"))))</x:f>
      </x:c>
    </x:row>
    <x:row r="8">
      <x:c r="A8"/>
      <x:c r="B8"/>
      <x:c r="C8"/>
      <x:c r="D8"/>
      <x:c r="E8"/>
      <x:c r="F8"/>
      <x:c r="G8" t="str">
        <x:f>IF(COUNT(B8:D8)&lt;3,"",IF(B8=MAX(B8:D8),"A",IF(C8=MAX(B8:D8),"B","C")))</x:f>
      </x:c>
      <x:c r="H8" t="str">
        <x:f>IF(COUNT(B8:D8)&lt;3,"",IF(B8=MIN(B8:D8),"A",IF(C8=MIN(B8:D8),"B","C")))</x:f>
      </x:c>
      <x:c r="I8" t="str">
        <x:f>IF(OR(E8="",G8=""),"",IF(E8=G8,"Y","N"))</x:f>
      </x:c>
      <x:c r="J8" t="str">
        <x:f>IF(OR(F8="",H8=""),"",IF(F8=H8,"Y","N"))</x:f>
      </x:c>
      <x:c r="K8" t="str">
        <x:f>IF(OR(I8="",J8=""),"",IF(AND(I8="Y",J8="Y"),"",IF(AND(I8="N",J8="N"),"가까움·멂 모두 점수와 불일치",IF(I8="N","가까움이 최고점과 불일치","멂이 최저점과 불일치"))))</x:f>
      </x:c>
    </x:row>
    <x:row r="9">
      <x:c r="A9"/>
      <x:c r="B9"/>
      <x:c r="C9"/>
      <x:c r="D9"/>
      <x:c r="E9"/>
      <x:c r="F9"/>
      <x:c r="G9" t="str">
        <x:f>IF(COUNT(B9:D9)&lt;3,"",IF(B9=MAX(B9:D9),"A",IF(C9=MAX(B9:D9),"B","C")))</x:f>
      </x:c>
      <x:c r="H9" t="str">
        <x:f>IF(COUNT(B9:D9)&lt;3,"",IF(B9=MIN(B9:D9),"A",IF(C9=MIN(B9:D9),"B","C")))</x:f>
      </x:c>
      <x:c r="I9" t="str">
        <x:f>IF(OR(E9="",G9=""),"",IF(E9=G9,"Y","N"))</x:f>
      </x:c>
      <x:c r="J9" t="str">
        <x:f>IF(OR(F9="",H9=""),"",IF(F9=H9,"Y","N"))</x:f>
      </x:c>
      <x:c r="K9" t="str">
        <x:f>IF(OR(I9="",J9=""),"",IF(AND(I9="Y",J9="Y"),"",IF(AND(I9="N",J9="N"),"가까움·멂 모두 점수와 불일치",IF(I9="N","가까움이 최고점과 불일치","멂이 최저점과 불일치"))))</x:f>
      </x:c>
    </x:row>
    <x:row r="10">
      <x:c r="A10"/>
      <x:c r="B10"/>
      <x:c r="C10"/>
      <x:c r="D10"/>
      <x:c r="E10"/>
      <x:c r="F10"/>
      <x:c r="G10" t="str">
        <x:f>IF(COUNT(B10:D10)&lt;3,"",IF(B10=MAX(B10:D10),"A",IF(C10=MAX(B10:D10),"B","C")))</x:f>
      </x:c>
      <x:c r="H10" t="str">
        <x:f>IF(COUNT(B10:D10)&lt;3,"",IF(B10=MIN(B10:D10),"A",IF(C10=MIN(B10:D10),"B","C")))</x:f>
      </x:c>
      <x:c r="I10" t="str">
        <x:f>IF(OR(E10="",G10=""),"",IF(E10=G10,"Y","N"))</x:f>
      </x:c>
      <x:c r="J10" t="str">
        <x:f>IF(OR(F10="",H10=""),"",IF(F10=H10,"Y","N"))</x:f>
      </x:c>
      <x:c r="K10" t="str">
        <x:f>IF(OR(I10="",J10=""),"",IF(AND(I10="Y",J10="Y"),"",IF(AND(I10="N",J10="N"),"가까움·멂 모두 점수와 불일치",IF(I10="N","가까움이 최고점과 불일치","멂이 최저점과 불일치"))))</x:f>
      </x:c>
    </x:row>
    <x:row r="11">
      <x:c r="A11"/>
      <x:c r="B11"/>
      <x:c r="C11"/>
      <x:c r="D11"/>
      <x:c r="E11"/>
      <x:c r="F11"/>
      <x:c r="G11" t="str">
        <x:f>IF(COUNT(B11:D11)&lt;3,"",IF(B11=MAX(B11:D11),"A",IF(C11=MAX(B11:D11),"B","C")))</x:f>
      </x:c>
      <x:c r="H11" t="str">
        <x:f>IF(COUNT(B11:D11)&lt;3,"",IF(B11=MIN(B11:D11),"A",IF(C11=MIN(B11:D11),"B","C")))</x:f>
      </x:c>
      <x:c r="I11" t="str">
        <x:f>IF(OR(E11="",G11=""),"",IF(E11=G11,"Y","N"))</x:f>
      </x:c>
      <x:c r="J11" t="str">
        <x:f>IF(OR(F11="",H11=""),"",IF(F11=H11,"Y","N"))</x:f>
      </x:c>
      <x:c r="K11" t="str">
        <x:f>IF(OR(I11="",J11=""),"",IF(AND(I11="Y",J11="Y"),"",IF(AND(I11="N",J11="N"),"가까움·멂 모두 점수와 불일치",IF(I11="N","가까움이 최고점과 불일치","멂이 최저점과 불일치"))))</x:f>
      </x:c>
    </x:row>
    <x:row r="12">
      <x:c r="A12"/>
      <x:c r="B12"/>
      <x:c r="C12"/>
      <x:c r="D12"/>
      <x:c r="E12"/>
      <x:c r="F12"/>
      <x:c r="G12" t="str">
        <x:f>IF(COUNT(B12:D12)&lt;3,"",IF(B12=MAX(B12:D12),"A",IF(C12=MAX(B12:D12),"B","C")))</x:f>
      </x:c>
      <x:c r="H12" t="str">
        <x:f>IF(COUNT(B12:D12)&lt;3,"",IF(B12=MIN(B12:D12),"A",IF(C12=MIN(B12:D12),"B","C")))</x:f>
      </x:c>
      <x:c r="I12" t="str">
        <x:f>IF(OR(E12="",G12=""),"",IF(E12=G12,"Y","N"))</x:f>
      </x:c>
      <x:c r="J12" t="str">
        <x:f>IF(OR(F12="",H12=""),"",IF(F12=H12,"Y","N"))</x:f>
      </x:c>
      <x:c r="K12" t="str">
        <x:f>IF(OR(I12="",J12=""),"",IF(AND(I12="Y",J12="Y"),"",IF(AND(I12="N",J12="N"),"가까움·멂 모두 점수와 불일치",IF(I12="N","가까움이 최고점과 불일치","멂이 최저점과 불일치"))))</x:f>
      </x:c>
    </x:row>
    <x:row r="13">
      <x:c r="A13"/>
      <x:c r="B13"/>
      <x:c r="C13"/>
      <x:c r="D13"/>
      <x:c r="E13"/>
      <x:c r="F13"/>
      <x:c r="G13" t="str">
        <x:f>IF(COUNT(B13:D13)&lt;3,"",IF(B13=MAX(B13:D13),"A",IF(C13=MAX(B13:D13),"B","C")))</x:f>
      </x:c>
      <x:c r="H13" t="str">
        <x:f>IF(COUNT(B13:D13)&lt;3,"",IF(B13=MIN(B13:D13),"A",IF(C13=MIN(B13:D13),"B","C")))</x:f>
      </x:c>
      <x:c r="I13" t="str">
        <x:f>IF(OR(E13="",G13=""),"",IF(E13=G13,"Y","N"))</x:f>
      </x:c>
      <x:c r="J13" t="str">
        <x:f>IF(OR(F13="",H13=""),"",IF(F13=H13,"Y","N"))</x:f>
      </x:c>
      <x:c r="K13" t="str">
        <x:f>IF(OR(I13="",J13=""),"",IF(AND(I13="Y",J13="Y"),"",IF(AND(I13="N",J13="N"),"가까움·멂 모두 점수와 불일치",IF(I13="N","가까움이 최고점과 불일치","멂이 최저점과 불일치"))))</x:f>
      </x:c>
    </x:row>
    <x:row r="14">
      <x:c r="A14"/>
      <x:c r="B14"/>
      <x:c r="C14"/>
      <x:c r="D14"/>
      <x:c r="E14"/>
      <x:c r="F14"/>
      <x:c r="G14" t="str">
        <x:f>IF(COUNT(B14:D14)&lt;3,"",IF(B14=MAX(B14:D14),"A",IF(C14=MAX(B14:D14),"B","C")))</x:f>
      </x:c>
      <x:c r="H14" t="str">
        <x:f>IF(COUNT(B14:D14)&lt;3,"",IF(B14=MIN(B14:D14),"A",IF(C14=MIN(B14:D14),"B","C")))</x:f>
      </x:c>
      <x:c r="I14" t="str">
        <x:f>IF(OR(E14="",G14=""),"",IF(E14=G14,"Y","N"))</x:f>
      </x:c>
      <x:c r="J14" t="str">
        <x:f>IF(OR(F14="",H14=""),"",IF(F14=H14,"Y","N"))</x:f>
      </x:c>
      <x:c r="K14" t="str">
        <x:f>IF(OR(I14="",J14=""),"",IF(AND(I14="Y",J14="Y"),"",IF(AND(I14="N",J14="N"),"가까움·멂 모두 점수와 불일치",IF(I14="N","가까움이 최고점과 불일치","멂이 최저점과 불일치"))))</x:f>
      </x:c>
    </x:row>
    <x:row r="15">
      <x:c r="A15"/>
      <x:c r="B15"/>
      <x:c r="C15"/>
      <x:c r="D15"/>
      <x:c r="E15"/>
      <x:c r="F15"/>
      <x:c r="G15" t="str">
        <x:f>IF(COUNT(B15:D15)&lt;3,"",IF(B15=MAX(B15:D15),"A",IF(C15=MAX(B15:D15),"B","C")))</x:f>
      </x:c>
      <x:c r="H15" t="str">
        <x:f>IF(COUNT(B15:D15)&lt;3,"",IF(B15=MIN(B15:D15),"A",IF(C15=MIN(B15:D15),"B","C")))</x:f>
      </x:c>
      <x:c r="I15" t="str">
        <x:f>IF(OR(E15="",G15=""),"",IF(E15=G15,"Y","N"))</x:f>
      </x:c>
      <x:c r="J15" t="str">
        <x:f>IF(OR(F15="",H15=""),"",IF(F15=H15,"Y","N"))</x:f>
      </x:c>
      <x:c r="K15" t="str">
        <x:f>IF(OR(I15="",J15=""),"",IF(AND(I15="Y",J15="Y"),"",IF(AND(I15="N",J15="N"),"가까움·멂 모두 점수와 불일치",IF(I15="N","가까움이 최고점과 불일치","멂이 최저점과 불일치"))))</x:f>
      </x:c>
    </x:row>
    <x:row r="16">
      <x:c r="A16"/>
      <x:c r="B16"/>
      <x:c r="C16"/>
      <x:c r="D16"/>
      <x:c r="E16"/>
      <x:c r="F16"/>
      <x:c r="G16" t="str">
        <x:f>IF(COUNT(B16:D16)&lt;3,"",IF(B16=MAX(B16:D16),"A",IF(C16=MAX(B16:D16),"B","C")))</x:f>
      </x:c>
      <x:c r="H16" t="str">
        <x:f>IF(COUNT(B16:D16)&lt;3,"",IF(B16=MIN(B16:D16),"A",IF(C16=MIN(B16:D16),"B","C")))</x:f>
      </x:c>
      <x:c r="I16" t="str">
        <x:f>IF(OR(E16="",G16=""),"",IF(E16=G16,"Y","N"))</x:f>
      </x:c>
      <x:c r="J16" t="str">
        <x:f>IF(OR(F16="",H16=""),"",IF(F16=H16,"Y","N"))</x:f>
      </x:c>
      <x:c r="K16" t="str">
        <x:f>IF(OR(I16="",J16=""),"",IF(AND(I16="Y",J16="Y"),"",IF(AND(I16="N",J16="N"),"가까움·멂 모두 점수와 불일치",IF(I16="N","가까움이 최고점과 불일치","멂이 최저점과 불일치"))))</x:f>
      </x:c>
    </x:row>
    <x:row r="17">
      <x:c r="A17"/>
      <x:c r="B17"/>
      <x:c r="C17"/>
      <x:c r="D17"/>
      <x:c r="E17"/>
      <x:c r="F17"/>
      <x:c r="G17" t="str">
        <x:f>IF(COUNT(B17:D17)&lt;3,"",IF(B17=MAX(B17:D17),"A",IF(C17=MAX(B17:D17),"B","C")))</x:f>
      </x:c>
      <x:c r="H17" t="str">
        <x:f>IF(COUNT(B17:D17)&lt;3,"",IF(B17=MIN(B17:D17),"A",IF(C17=MIN(B17:D17),"B","C")))</x:f>
      </x:c>
      <x:c r="I17" t="str">
        <x:f>IF(OR(E17="",G17=""),"",IF(E17=G17,"Y","N"))</x:f>
      </x:c>
      <x:c r="J17" t="str">
        <x:f>IF(OR(F17="",H17=""),"",IF(F17=H17,"Y","N"))</x:f>
      </x:c>
      <x:c r="K17" t="str">
        <x:f>IF(OR(I17="",J17=""),"",IF(AND(I17="Y",J17="Y"),"",IF(AND(I17="N",J17="N"),"가까움·멂 모두 점수와 불일치",IF(I17="N","가까움이 최고점과 불일치","멂이 최저점과 불일치"))))</x:f>
      </x:c>
    </x:row>
    <x:row r="18">
      <x:c r="A18"/>
      <x:c r="B18"/>
      <x:c r="C18"/>
      <x:c r="D18"/>
      <x:c r="E18"/>
      <x:c r="F18"/>
      <x:c r="G18" t="str">
        <x:f>IF(COUNT(B18:D18)&lt;3,"",IF(B18=MAX(B18:D18),"A",IF(C18=MAX(B18:D18),"B","C")))</x:f>
      </x:c>
      <x:c r="H18" t="str">
        <x:f>IF(COUNT(B18:D18)&lt;3,"",IF(B18=MIN(B18:D18),"A",IF(C18=MIN(B18:D18),"B","C")))</x:f>
      </x:c>
      <x:c r="I18" t="str">
        <x:f>IF(OR(E18="",G18=""),"",IF(E18=G18,"Y","N"))</x:f>
      </x:c>
      <x:c r="J18" t="str">
        <x:f>IF(OR(F18="",H18=""),"",IF(F18=H18,"Y","N"))</x:f>
      </x:c>
      <x:c r="K18" t="str">
        <x:f>IF(OR(I18="",J18=""),"",IF(AND(I18="Y",J18="Y"),"",IF(AND(I18="N",J18="N"),"가까움·멂 모두 점수와 불일치",IF(I18="N","가까움이 최고점과 불일치","멂이 최저점과 불일치"))))</x:f>
      </x:c>
    </x:row>
    <x:row r="19">
      <x:c r="A19"/>
      <x:c r="B19"/>
      <x:c r="C19"/>
      <x:c r="D19"/>
      <x:c r="E19"/>
      <x:c r="F19"/>
      <x:c r="G19" t="str">
        <x:f>IF(COUNT(B19:D19)&lt;3,"",IF(B19=MAX(B19:D19),"A",IF(C19=MAX(B19:D19),"B","C")))</x:f>
      </x:c>
      <x:c r="H19" t="str">
        <x:f>IF(COUNT(B19:D19)&lt;3,"",IF(B19=MIN(B19:D19),"A",IF(C19=MIN(B19:D19),"B","C")))</x:f>
      </x:c>
      <x:c r="I19" t="str">
        <x:f>IF(OR(E19="",G19=""),"",IF(E19=G19,"Y","N"))</x:f>
      </x:c>
      <x:c r="J19" t="str">
        <x:f>IF(OR(F19="",H19=""),"",IF(F19=H19,"Y","N"))</x:f>
      </x:c>
      <x:c r="K19" t="str">
        <x:f>IF(OR(I19="",J19=""),"",IF(AND(I19="Y",J19="Y"),"",IF(AND(I19="N",J19="N"),"가까움·멂 모두 점수와 불일치",IF(I19="N","가까움이 최고점과 불일치","멂이 최저점과 불일치"))))</x:f>
      </x:c>
    </x:row>
    <x:row r="20">
      <x:c r="A20"/>
      <x:c r="B20"/>
      <x:c r="C20"/>
      <x:c r="D20"/>
      <x:c r="E20"/>
      <x:c r="F20"/>
      <x:c r="G20" t="str">
        <x:f>IF(COUNT(B20:D20)&lt;3,"",IF(B20=MAX(B20:D20),"A",IF(C20=MAX(B20:D20),"B","C")))</x:f>
      </x:c>
      <x:c r="H20" t="str">
        <x:f>IF(COUNT(B20:D20)&lt;3,"",IF(B20=MIN(B20:D20),"A",IF(C20=MIN(B20:D20),"B","C")))</x:f>
      </x:c>
      <x:c r="I20" t="str">
        <x:f>IF(OR(E20="",G20=""),"",IF(E20=G20,"Y","N"))</x:f>
      </x:c>
      <x:c r="J20" t="str">
        <x:f>IF(OR(F20="",H20=""),"",IF(F20=H20,"Y","N"))</x:f>
      </x:c>
      <x:c r="K20" t="str">
        <x:f>IF(OR(I20="",J20=""),"",IF(AND(I20="Y",J20="Y"),"",IF(AND(I20="N",J20="N"),"가까움·멂 모두 점수와 불일치",IF(I20="N","가까움이 최고점과 불일치","멂이 최저점과 불일치"))))</x:f>
      </x:c>
    </x:row>
    <x:row r="21">
      <x:c r="A21"/>
      <x:c r="B21"/>
      <x:c r="C21"/>
      <x:c r="D21"/>
      <x:c r="E21"/>
      <x:c r="F21"/>
      <x:c r="G21" t="str">
        <x:f>IF(COUNT(B21:D21)&lt;3,"",IF(B21=MAX(B21:D21),"A",IF(C21=MAX(B21:D21),"B","C")))</x:f>
      </x:c>
      <x:c r="H21" t="str">
        <x:f>IF(COUNT(B21:D21)&lt;3,"",IF(B21=MIN(B21:D21),"A",IF(C21=MIN(B21:D21),"B","C")))</x:f>
      </x:c>
      <x:c r="I21" t="str">
        <x:f>IF(OR(E21="",G21=""),"",IF(E21=G21,"Y","N"))</x:f>
      </x:c>
      <x:c r="J21" t="str">
        <x:f>IF(OR(F21="",H21=""),"",IF(F21=H21,"Y","N"))</x:f>
      </x:c>
      <x:c r="K21" t="str">
        <x:f>IF(OR(I21="",J21=""),"",IF(AND(I21="Y",J21="Y"),"",IF(AND(I21="N",J21="N"),"가까움·멂 모두 점수와 불일치",IF(I21="N","가까움이 최고점과 불일치","멂이 최저점과 불일치"))))</x:f>
      </x:c>
    </x:row>
    <x:row r="22">
      <x:c r="A22"/>
      <x:c r="B22"/>
      <x:c r="C22"/>
      <x:c r="D22"/>
      <x:c r="E22"/>
      <x:c r="F22"/>
      <x:c r="G22" t="str">
        <x:f>IF(COUNT(B22:D22)&lt;3,"",IF(B22=MAX(B22:D22),"A",IF(C22=MAX(B22:D22),"B","C")))</x:f>
      </x:c>
      <x:c r="H22" t="str">
        <x:f>IF(COUNT(B22:D22)&lt;3,"",IF(B22=MIN(B22:D22),"A",IF(C22=MIN(B22:D22),"B","C")))</x:f>
      </x:c>
      <x:c r="I22" t="str">
        <x:f>IF(OR(E22="",G22=""),"",IF(E22=G22,"Y","N"))</x:f>
      </x:c>
      <x:c r="J22" t="str">
        <x:f>IF(OR(F22="",H22=""),"",IF(F22=H22,"Y","N"))</x:f>
      </x:c>
      <x:c r="K22" t="str">
        <x:f>IF(OR(I22="",J22=""),"",IF(AND(I22="Y",J22="Y"),"",IF(AND(I22="N",J22="N"),"가까움·멂 모두 점수와 불일치",IF(I22="N","가까움이 최고점과 불일치","멂이 최저점과 불일치"))))</x:f>
      </x:c>
    </x:row>
    <x:row r="23">
      <x:c r="A23"/>
      <x:c r="B23"/>
      <x:c r="C23"/>
      <x:c r="D23"/>
      <x:c r="E23"/>
      <x:c r="F23"/>
      <x:c r="G23" t="str">
        <x:f>IF(COUNT(B23:D23)&lt;3,"",IF(B23=MAX(B23:D23),"A",IF(C23=MAX(B23:D23),"B","C")))</x:f>
      </x:c>
      <x:c r="H23" t="str">
        <x:f>IF(COUNT(B23:D23)&lt;3,"",IF(B23=MIN(B23:D23),"A",IF(C23=MIN(B23:D23),"B","C")))</x:f>
      </x:c>
      <x:c r="I23" t="str">
        <x:f>IF(OR(E23="",G23=""),"",IF(E23=G23,"Y","N"))</x:f>
      </x:c>
      <x:c r="J23" t="str">
        <x:f>IF(OR(F23="",H23=""),"",IF(F23=H23,"Y","N"))</x:f>
      </x:c>
      <x:c r="K23" t="str">
        <x:f>IF(OR(I23="",J23=""),"",IF(AND(I23="Y",J23="Y"),"",IF(AND(I23="N",J23="N"),"가까움·멂 모두 점수와 불일치",IF(I23="N","가까움이 최고점과 불일치","멂이 최저점과 불일치"))))</x:f>
      </x:c>
    </x:row>
    <x:row r="24">
      <x:c r="A24"/>
      <x:c r="B24"/>
      <x:c r="C24"/>
      <x:c r="D24"/>
      <x:c r="E24"/>
      <x:c r="F24"/>
      <x:c r="G24" t="str">
        <x:f>IF(COUNT(B24:D24)&lt;3,"",IF(B24=MAX(B24:D24),"A",IF(C24=MAX(B24:D24),"B","C")))</x:f>
      </x:c>
      <x:c r="H24" t="str">
        <x:f>IF(COUNT(B24:D24)&lt;3,"",IF(B24=MIN(B24:D24),"A",IF(C24=MIN(B24:D24),"B","C")))</x:f>
      </x:c>
      <x:c r="I24" t="str">
        <x:f>IF(OR(E24="",G24=""),"",IF(E24=G24,"Y","N"))</x:f>
      </x:c>
      <x:c r="J24" t="str">
        <x:f>IF(OR(F24="",H24=""),"",IF(F24=H24,"Y","N"))</x:f>
      </x:c>
      <x:c r="K24" t="str">
        <x:f>IF(OR(I24="",J24=""),"",IF(AND(I24="Y",J24="Y"),"",IF(AND(I24="N",J24="N"),"가까움·멂 모두 점수와 불일치",IF(I24="N","가까움이 최고점과 불일치","멂이 최저점과 불일치"))))</x:f>
      </x:c>
    </x:row>
    <x:row r="25">
      <x:c r="A25"/>
      <x:c r="B25"/>
      <x:c r="C25"/>
      <x:c r="D25"/>
      <x:c r="E25"/>
      <x:c r="F25"/>
      <x:c r="G25" t="str">
        <x:f>IF(COUNT(B25:D25)&lt;3,"",IF(B25=MAX(B25:D25),"A",IF(C25=MAX(B25:D25),"B","C")))</x:f>
      </x:c>
      <x:c r="H25" t="str">
        <x:f>IF(COUNT(B25:D25)&lt;3,"",IF(B25=MIN(B25:D25),"A",IF(C25=MIN(B25:D25),"B","C")))</x:f>
      </x:c>
      <x:c r="I25" t="str">
        <x:f>IF(OR(E25="",G25=""),"",IF(E25=G25,"Y","N"))</x:f>
      </x:c>
      <x:c r="J25" t="str">
        <x:f>IF(OR(F25="",H25=""),"",IF(F25=H25,"Y","N"))</x:f>
      </x:c>
      <x:c r="K25" t="str">
        <x:f>IF(OR(I25="",J25=""),"",IF(AND(I25="Y",J25="Y"),"",IF(AND(I25="N",J25="N"),"가까움·멂 모두 점수와 불일치",IF(I25="N","가까움이 최고점과 불일치","멂이 최저점과 불일치"))))</x:f>
      </x:c>
    </x:row>
    <x:row r="26">
      <x:c r="A26"/>
      <x:c r="B26"/>
      <x:c r="C26"/>
      <x:c r="D26"/>
      <x:c r="E26"/>
      <x:c r="F26"/>
      <x:c r="G26" t="str">
        <x:f>IF(COUNT(B26:D26)&lt;3,"",IF(B26=MAX(B26:D26),"A",IF(C26=MAX(B26:D26),"B","C")))</x:f>
      </x:c>
      <x:c r="H26" t="str">
        <x:f>IF(COUNT(B26:D26)&lt;3,"",IF(B26=MIN(B26:D26),"A",IF(C26=MIN(B26:D26),"B","C")))</x:f>
      </x:c>
      <x:c r="I26" t="str">
        <x:f>IF(OR(E26="",G26=""),"",IF(E26=G26,"Y","N"))</x:f>
      </x:c>
      <x:c r="J26" t="str">
        <x:f>IF(OR(F26="",H26=""),"",IF(F26=H26,"Y","N"))</x:f>
      </x:c>
      <x:c r="K26" t="str">
        <x:f>IF(OR(I26="",J26=""),"",IF(AND(I26="Y",J26="Y"),"",IF(AND(I26="N",J26="N"),"가까움·멂 모두 점수와 불일치",IF(I26="N","가까움이 최고점과 불일치","멂이 최저점과 불일치"))))</x:f>
      </x:c>
    </x:row>
    <x:row r="27">
      <x:c r="A27"/>
      <x:c r="B27"/>
      <x:c r="C27"/>
      <x:c r="D27"/>
      <x:c r="E27"/>
      <x:c r="F27"/>
      <x:c r="G27" t="str">
        <x:f>IF(COUNT(B27:D27)&lt;3,"",IF(B27=MAX(B27:D27),"A",IF(C27=MAX(B27:D27),"B","C")))</x:f>
      </x:c>
      <x:c r="H27" t="str">
        <x:f>IF(COUNT(B27:D27)&lt;3,"",IF(B27=MIN(B27:D27),"A",IF(C27=MIN(B27:D27),"B","C")))</x:f>
      </x:c>
      <x:c r="I27" t="str">
        <x:f>IF(OR(E27="",G27=""),"",IF(E27=G27,"Y","N"))</x:f>
      </x:c>
      <x:c r="J27" t="str">
        <x:f>IF(OR(F27="",H27=""),"",IF(F27=H27,"Y","N"))</x:f>
      </x:c>
      <x:c r="K27" t="str">
        <x:f>IF(OR(I27="",J27=""),"",IF(AND(I27="Y",J27="Y"),"",IF(AND(I27="N",J27="N"),"가까움·멂 모두 점수와 불일치",IF(I27="N","가까움이 최고점과 불일치","멂이 최저점과 불일치"))))</x:f>
      </x:c>
    </x:row>
    <x:row r="28">
      <x:c r="A28"/>
      <x:c r="B28"/>
      <x:c r="C28"/>
      <x:c r="D28"/>
      <x:c r="E28"/>
      <x:c r="F28"/>
      <x:c r="G28" t="str">
        <x:f>IF(COUNT(B28:D28)&lt;3,"",IF(B28=MAX(B28:D28),"A",IF(C28=MAX(B28:D28),"B","C")))</x:f>
      </x:c>
      <x:c r="H28" t="str">
        <x:f>IF(COUNT(B28:D28)&lt;3,"",IF(B28=MIN(B28:D28),"A",IF(C28=MIN(B28:D28),"B","C")))</x:f>
      </x:c>
      <x:c r="I28" t="str">
        <x:f>IF(OR(E28="",G28=""),"",IF(E28=G28,"Y","N"))</x:f>
      </x:c>
      <x:c r="J28" t="str">
        <x:f>IF(OR(F28="",H28=""),"",IF(F28=H28,"Y","N"))</x:f>
      </x:c>
      <x:c r="K28" t="str">
        <x:f>IF(OR(I28="",J28=""),"",IF(AND(I28="Y",J28="Y"),"",IF(AND(I28="N",J28="N"),"가까움·멂 모두 점수와 불일치",IF(I28="N","가까움이 최고점과 불일치","멂이 최저점과 불일치"))))</x:f>
      </x:c>
    </x:row>
    <x:row r="29">
      <x:c r="A29"/>
      <x:c r="B29"/>
      <x:c r="C29"/>
      <x:c r="D29"/>
      <x:c r="E29"/>
      <x:c r="F29"/>
      <x:c r="G29" t="str">
        <x:f>IF(COUNT(B29:D29)&lt;3,"",IF(B29=MAX(B29:D29),"A",IF(C29=MAX(B29:D29),"B","C")))</x:f>
      </x:c>
      <x:c r="H29" t="str">
        <x:f>IF(COUNT(B29:D29)&lt;3,"",IF(B29=MIN(B29:D29),"A",IF(C29=MIN(B29:D29),"B","C")))</x:f>
      </x:c>
      <x:c r="I29" t="str">
        <x:f>IF(OR(E29="",G29=""),"",IF(E29=G29,"Y","N"))</x:f>
      </x:c>
      <x:c r="J29" t="str">
        <x:f>IF(OR(F29="",H29=""),"",IF(F29=H29,"Y","N"))</x:f>
      </x:c>
      <x:c r="K29" t="str">
        <x:f>IF(OR(I29="",J29=""),"",IF(AND(I29="Y",J29="Y"),"",IF(AND(I29="N",J29="N"),"가까움·멂 모두 점수와 불일치",IF(I29="N","가까움이 최고점과 불일치","멂이 최저점과 불일치"))))</x:f>
      </x:c>
    </x:row>
    <x:row r="30">
      <x:c r="A30"/>
      <x:c r="B30"/>
      <x:c r="C30"/>
      <x:c r="D30"/>
      <x:c r="E30"/>
      <x:c r="F30"/>
      <x:c r="G30" t="str">
        <x:f>IF(COUNT(B30:D30)&lt;3,"",IF(B30=MAX(B30:D30),"A",IF(C30=MAX(B30:D30),"B","C")))</x:f>
      </x:c>
      <x:c r="H30" t="str">
        <x:f>IF(COUNT(B30:D30)&lt;3,"",IF(B30=MIN(B30:D30),"A",IF(C30=MIN(B30:D30),"B","C")))</x:f>
      </x:c>
      <x:c r="I30" t="str">
        <x:f>IF(OR(E30="",G30=""),"",IF(E30=G30,"Y","N"))</x:f>
      </x:c>
      <x:c r="J30" t="str">
        <x:f>IF(OR(F30="",H30=""),"",IF(F30=H30,"Y","N"))</x:f>
      </x:c>
      <x:c r="K30" t="str">
        <x:f>IF(OR(I30="",J30=""),"",IF(AND(I30="Y",J30="Y"),"",IF(AND(I30="N",J30="N"),"가까움·멂 모두 점수와 불일치",IF(I30="N","가까움이 최고점과 불일치","멂이 최저점과 불일치"))))</x:f>
      </x:c>
    </x:row>
    <x:row r="31">
      <x:c r="A31"/>
      <x:c r="B31"/>
      <x:c r="C31"/>
      <x:c r="D31"/>
      <x:c r="E31"/>
      <x:c r="F31"/>
      <x:c r="G31" t="str">
        <x:f>IF(COUNT(B31:D31)&lt;3,"",IF(B31=MAX(B31:D31),"A",IF(C31=MAX(B31:D31),"B","C")))</x:f>
      </x:c>
      <x:c r="H31" t="str">
        <x:f>IF(COUNT(B31:D31)&lt;3,"",IF(B31=MIN(B31:D31),"A",IF(C31=MIN(B31:D31),"B","C")))</x:f>
      </x:c>
      <x:c r="I31" t="str">
        <x:f>IF(OR(E31="",G31=""),"",IF(E31=G31,"Y","N"))</x:f>
      </x:c>
      <x:c r="J31" t="str">
        <x:f>IF(OR(F31="",H31=""),"",IF(F31=H31,"Y","N"))</x:f>
      </x:c>
      <x:c r="K31" t="str">
        <x:f>IF(OR(I31="",J31=""),"",IF(AND(I31="Y",J31="Y"),"",IF(AND(I31="N",J31="N"),"가까움·멂 모두 점수와 불일치",IF(I31="N","가까움이 최고점과 불일치","멂이 최저점과 불일치"))))</x:f>
      </x:c>
    </x:row>
    <x:row r="32">
      <x:c r="A32"/>
      <x:c r="B32"/>
      <x:c r="C32"/>
      <x:c r="D32"/>
      <x:c r="E32"/>
      <x:c r="F32"/>
      <x:c r="G32" t="str">
        <x:f>IF(COUNT(B32:D32)&lt;3,"",IF(B32=MAX(B32:D32),"A",IF(C32=MAX(B32:D32),"B","C")))</x:f>
      </x:c>
      <x:c r="H32" t="str">
        <x:f>IF(COUNT(B32:D32)&lt;3,"",IF(B32=MIN(B32:D32),"A",IF(C32=MIN(B32:D32),"B","C")))</x:f>
      </x:c>
      <x:c r="I32" t="str">
        <x:f>IF(OR(E32="",G32=""),"",IF(E32=G32,"Y","N"))</x:f>
      </x:c>
      <x:c r="J32" t="str">
        <x:f>IF(OR(F32="",H32=""),"",IF(F32=H32,"Y","N"))</x:f>
      </x:c>
      <x:c r="K32" t="str">
        <x:f>IF(OR(I32="",J32=""),"",IF(AND(I32="Y",J32="Y"),"",IF(AND(I32="N",J32="N"),"가까움·멂 모두 점수와 불일치",IF(I32="N","가까움이 최고점과 불일치","멂이 최저점과 불일치"))))</x:f>
      </x:c>
    </x:row>
    <x:row r="33">
      <x:c r="A33"/>
      <x:c r="B33"/>
      <x:c r="C33"/>
      <x:c r="D33"/>
      <x:c r="E33"/>
      <x:c r="F33"/>
      <x:c r="G33" t="str">
        <x:f>IF(COUNT(B33:D33)&lt;3,"",IF(B33=MAX(B33:D33),"A",IF(C33=MAX(B33:D33),"B","C")))</x:f>
      </x:c>
      <x:c r="H33" t="str">
        <x:f>IF(COUNT(B33:D33)&lt;3,"",IF(B33=MIN(B33:D33),"A",IF(C33=MIN(B33:D33),"B","C")))</x:f>
      </x:c>
      <x:c r="I33" t="str">
        <x:f>IF(OR(E33="",G33=""),"",IF(E33=G33,"Y","N"))</x:f>
      </x:c>
      <x:c r="J33" t="str">
        <x:f>IF(OR(F33="",H33=""),"",IF(F33=H33,"Y","N"))</x:f>
      </x:c>
      <x:c r="K33" t="str">
        <x:f>IF(OR(I33="",J33=""),"",IF(AND(I33="Y",J33="Y"),"",IF(AND(I33="N",J33="N"),"가까움·멂 모두 점수와 불일치",IF(I33="N","가까움이 최고점과 불일치","멂이 최저점과 불일치"))))</x:f>
      </x:c>
    </x:row>
    <x:row r="34">
      <x:c r="A34"/>
      <x:c r="B34"/>
      <x:c r="C34"/>
      <x:c r="D34"/>
      <x:c r="E34"/>
      <x:c r="F34"/>
      <x:c r="G34" t="str">
        <x:f>IF(COUNT(B34:D34)&lt;3,"",IF(B34=MAX(B34:D34),"A",IF(C34=MAX(B34:D34),"B","C")))</x:f>
      </x:c>
      <x:c r="H34" t="str">
        <x:f>IF(COUNT(B34:D34)&lt;3,"",IF(B34=MIN(B34:D34),"A",IF(C34=MIN(B34:D34),"B","C")))</x:f>
      </x:c>
      <x:c r="I34" t="str">
        <x:f>IF(OR(E34="",G34=""),"",IF(E34=G34,"Y","N"))</x:f>
      </x:c>
      <x:c r="J34" t="str">
        <x:f>IF(OR(F34="",H34=""),"",IF(F34=H34,"Y","N"))</x:f>
      </x:c>
      <x:c r="K34" t="str">
        <x:f>IF(OR(I34="",J34=""),"",IF(AND(I34="Y",J34="Y"),"",IF(AND(I34="N",J34="N"),"가까움·멂 모두 점수와 불일치",IF(I34="N","가까움이 최고점과 불일치","멂이 최저점과 불일치"))))</x:f>
      </x:c>
    </x:row>
    <x:row r="35">
      <x:c r="A35"/>
      <x:c r="B35"/>
      <x:c r="C35"/>
      <x:c r="D35"/>
      <x:c r="E35"/>
      <x:c r="F35"/>
      <x:c r="G35" t="str">
        <x:f>IF(COUNT(B35:D35)&lt;3,"",IF(B35=MAX(B35:D35),"A",IF(C35=MAX(B35:D35),"B","C")))</x:f>
      </x:c>
      <x:c r="H35" t="str">
        <x:f>IF(COUNT(B35:D35)&lt;3,"",IF(B35=MIN(B35:D35),"A",IF(C35=MIN(B35:D35),"B","C")))</x:f>
      </x:c>
      <x:c r="I35" t="str">
        <x:f>IF(OR(E35="",G35=""),"",IF(E35=G35,"Y","N"))</x:f>
      </x:c>
      <x:c r="J35" t="str">
        <x:f>IF(OR(F35="",H35=""),"",IF(F35=H35,"Y","N"))</x:f>
      </x:c>
      <x:c r="K35" t="str">
        <x:f>IF(OR(I35="",J35=""),"",IF(AND(I35="Y",J35="Y"),"",IF(AND(I35="N",J35="N"),"가까움·멂 모두 점수와 불일치",IF(I35="N","가까움이 최고점과 불일치","멂이 최저점과 불일치"))))</x:f>
      </x:c>
    </x:row>
    <x:row r="36">
      <x:c r="A36"/>
      <x:c r="B36"/>
      <x:c r="C36"/>
      <x:c r="D36"/>
      <x:c r="E36"/>
      <x:c r="F36"/>
      <x:c r="G36" t="str">
        <x:f>IF(COUNT(B36:D36)&lt;3,"",IF(B36=MAX(B36:D36),"A",IF(C36=MAX(B36:D36),"B","C")))</x:f>
      </x:c>
      <x:c r="H36" t="str">
        <x:f>IF(COUNT(B36:D36)&lt;3,"",IF(B36=MIN(B36:D36),"A",IF(C36=MIN(B36:D36),"B","C")))</x:f>
      </x:c>
      <x:c r="I36" t="str">
        <x:f>IF(OR(E36="",G36=""),"",IF(E36=G36,"Y","N"))</x:f>
      </x:c>
      <x:c r="J36" t="str">
        <x:f>IF(OR(F36="",H36=""),"",IF(F36=H36,"Y","N"))</x:f>
      </x:c>
      <x:c r="K36" t="str">
        <x:f>IF(OR(I36="",J36=""),"",IF(AND(I36="Y",J36="Y"),"",IF(AND(I36="N",J36="N"),"가까움·멂 모두 점수와 불일치",IF(I36="N","가까움이 최고점과 불일치","멂이 최저점과 불일치"))))</x:f>
      </x:c>
    </x:row>
    <x:row r="37">
      <x:c r="A37"/>
      <x:c r="B37"/>
      <x:c r="C37"/>
      <x:c r="D37"/>
      <x:c r="E37"/>
      <x:c r="F37"/>
      <x:c r="G37" t="str">
        <x:f>IF(COUNT(B37:D37)&lt;3,"",IF(B37=MAX(B37:D37),"A",IF(C37=MAX(B37:D37),"B","C")))</x:f>
      </x:c>
      <x:c r="H37" t="str">
        <x:f>IF(COUNT(B37:D37)&lt;3,"",IF(B37=MIN(B37:D37),"A",IF(C37=MIN(B37:D37),"B","C")))</x:f>
      </x:c>
      <x:c r="I37" t="str">
        <x:f>IF(OR(E37="",G37=""),"",IF(E37=G37,"Y","N"))</x:f>
      </x:c>
      <x:c r="J37" t="str">
        <x:f>IF(OR(F37="",H37=""),"",IF(F37=H37,"Y","N"))</x:f>
      </x:c>
      <x:c r="K37" t="str">
        <x:f>IF(OR(I37="",J37=""),"",IF(AND(I37="Y",J37="Y"),"",IF(AND(I37="N",J37="N"),"가까움·멂 모두 점수와 불일치",IF(I37="N","가까움이 최고점과 불일치","멂이 최저점과 불일치"))))</x:f>
      </x:c>
    </x:row>
    <x:row r="38">
      <x:c r="A38"/>
      <x:c r="B38"/>
      <x:c r="C38"/>
      <x:c r="D38"/>
      <x:c r="E38"/>
      <x:c r="F38"/>
      <x:c r="G38" t="str">
        <x:f>IF(COUNT(B38:D38)&lt;3,"",IF(B38=MAX(B38:D38),"A",IF(C38=MAX(B38:D38),"B","C")))</x:f>
      </x:c>
      <x:c r="H38" t="str">
        <x:f>IF(COUNT(B38:D38)&lt;3,"",IF(B38=MIN(B38:D38),"A",IF(C38=MIN(B38:D38),"B","C")))</x:f>
      </x:c>
      <x:c r="I38" t="str">
        <x:f>IF(OR(E38="",G38=""),"",IF(E38=G38,"Y","N"))</x:f>
      </x:c>
      <x:c r="J38" t="str">
        <x:f>IF(OR(F38="",H38=""),"",IF(F38=H38,"Y","N"))</x:f>
      </x:c>
      <x:c r="K38" t="str">
        <x:f>IF(OR(I38="",J38=""),"",IF(AND(I38="Y",J38="Y"),"",IF(AND(I38="N",J38="N"),"가까움·멂 모두 점수와 불일치",IF(I38="N","가까움이 최고점과 불일치","멂이 최저점과 불일치"))))</x:f>
      </x:c>
    </x:row>
    <x:row r="39">
      <x:c r="A39"/>
      <x:c r="B39"/>
      <x:c r="C39"/>
      <x:c r="D39"/>
      <x:c r="E39"/>
      <x:c r="F39"/>
      <x:c r="G39" t="str">
        <x:f>IF(COUNT(B39:D39)&lt;3,"",IF(B39=MAX(B39:D39),"A",IF(C39=MAX(B39:D39),"B","C")))</x:f>
      </x:c>
      <x:c r="H39" t="str">
        <x:f>IF(COUNT(B39:D39)&lt;3,"",IF(B39=MIN(B39:D39),"A",IF(C39=MIN(B39:D39),"B","C")))</x:f>
      </x:c>
      <x:c r="I39" t="str">
        <x:f>IF(OR(E39="",G39=""),"",IF(E39=G39,"Y","N"))</x:f>
      </x:c>
      <x:c r="J39" t="str">
        <x:f>IF(OR(F39="",H39=""),"",IF(F39=H39,"Y","N"))</x:f>
      </x:c>
      <x:c r="K39" t="str">
        <x:f>IF(OR(I39="",J39=""),"",IF(AND(I39="Y",J39="Y"),"",IF(AND(I39="N",J39="N"),"가까움·멂 모두 점수와 불일치",IF(I39="N","가까움이 최고점과 불일치","멂이 최저점과 불일치"))))</x:f>
      </x:c>
    </x:row>
    <x:row r="40">
      <x:c r="A40"/>
      <x:c r="B40"/>
      <x:c r="C40"/>
      <x:c r="D40"/>
      <x:c r="E40"/>
      <x:c r="F40"/>
      <x:c r="G40" t="str">
        <x:f>IF(COUNT(B40:D40)&lt;3,"",IF(B40=MAX(B40:D40),"A",IF(C40=MAX(B40:D40),"B","C")))</x:f>
      </x:c>
      <x:c r="H40" t="str">
        <x:f>IF(COUNT(B40:D40)&lt;3,"",IF(B40=MIN(B40:D40),"A",IF(C40=MIN(B40:D40),"B","C")))</x:f>
      </x:c>
      <x:c r="I40" t="str">
        <x:f>IF(OR(E40="",G40=""),"",IF(E40=G40,"Y","N"))</x:f>
      </x:c>
      <x:c r="J40" t="str">
        <x:f>IF(OR(F40="",H40=""),"",IF(F40=H40,"Y","N"))</x:f>
      </x:c>
      <x:c r="K40" t="str">
        <x:f>IF(OR(I40="",J40=""),"",IF(AND(I40="Y",J40="Y"),"",IF(AND(I40="N",J40="N"),"가까움·멂 모두 점수와 불일치",IF(I40="N","가까움이 최고점과 불일치","멂이 최저점과 불일치"))))</x:f>
      </x:c>
    </x:row>
    <x:row r="41">
      <x:c r="A41"/>
      <x:c r="B41"/>
      <x:c r="C41"/>
      <x:c r="D41"/>
      <x:c r="E41"/>
      <x:c r="F41"/>
      <x:c r="G41" t="str">
        <x:f>IF(COUNT(B41:D41)&lt;3,"",IF(B41=MAX(B41:D41),"A",IF(C41=MAX(B41:D41),"B","C")))</x:f>
      </x:c>
      <x:c r="H41" t="str">
        <x:f>IF(COUNT(B41:D41)&lt;3,"",IF(B41=MIN(B41:D41),"A",IF(C41=MIN(B41:D41),"B","C")))</x:f>
      </x:c>
      <x:c r="I41" t="str">
        <x:f>IF(OR(E41="",G41=""),"",IF(E41=G41,"Y","N"))</x:f>
      </x:c>
      <x:c r="J41" t="str">
        <x:f>IF(OR(F41="",H41=""),"",IF(F41=H41,"Y","N"))</x:f>
      </x:c>
      <x:c r="K41" t="str">
        <x:f>IF(OR(I41="",J41=""),"",IF(AND(I41="Y",J41="Y"),"",IF(AND(I41="N",J41="N"),"가까움·멂 모두 점수와 불일치",IF(I41="N","가까움이 최고점과 불일치","멂이 최저점과 불일치"))))</x:f>
      </x:c>
    </x:row>
    <x:row r="42">
      <x:c r="A42"/>
      <x:c r="B42"/>
      <x:c r="C42"/>
      <x:c r="D42"/>
      <x:c r="E42"/>
      <x:c r="F42"/>
      <x:c r="G42" t="str">
        <x:f>IF(COUNT(B42:D42)&lt;3,"",IF(B42=MAX(B42:D42),"A",IF(C42=MAX(B42:D42),"B","C")))</x:f>
      </x:c>
      <x:c r="H42" t="str">
        <x:f>IF(COUNT(B42:D42)&lt;3,"",IF(B42=MIN(B42:D42),"A",IF(C42=MIN(B42:D42),"B","C")))</x:f>
      </x:c>
      <x:c r="I42" t="str">
        <x:f>IF(OR(E42="",G42=""),"",IF(E42=G42,"Y","N"))</x:f>
      </x:c>
      <x:c r="J42" t="str">
        <x:f>IF(OR(F42="",H42=""),"",IF(F42=H42,"Y","N"))</x:f>
      </x:c>
      <x:c r="K42" t="str">
        <x:f>IF(OR(I42="",J42=""),"",IF(AND(I42="Y",J42="Y"),"",IF(AND(I42="N",J42="N"),"가까움·멂 모두 점수와 불일치",IF(I42="N","가까움이 최고점과 불일치","멂이 최저점과 불일치"))))</x:f>
      </x:c>
    </x:row>
    <x:row r="43">
      <x:c r="A43"/>
      <x:c r="B43"/>
      <x:c r="C43"/>
      <x:c r="D43"/>
      <x:c r="E43"/>
      <x:c r="F43"/>
      <x:c r="G43" t="str">
        <x:f>IF(COUNT(B43:D43)&lt;3,"",IF(B43=MAX(B43:D43),"A",IF(C43=MAX(B43:D43),"B","C")))</x:f>
      </x:c>
      <x:c r="H43" t="str">
        <x:f>IF(COUNT(B43:D43)&lt;3,"",IF(B43=MIN(B43:D43),"A",IF(C43=MIN(B43:D43),"B","C")))</x:f>
      </x:c>
      <x:c r="I43" t="str">
        <x:f>IF(OR(E43="",G43=""),"",IF(E43=G43,"Y","N"))</x:f>
      </x:c>
      <x:c r="J43" t="str">
        <x:f>IF(OR(F43="",H43=""),"",IF(F43=H43,"Y","N"))</x:f>
      </x:c>
      <x:c r="K43" t="str">
        <x:f>IF(OR(I43="",J43=""),"",IF(AND(I43="Y",J43="Y"),"",IF(AND(I43="N",J43="N"),"가까움·멂 모두 점수와 불일치",IF(I43="N","가까움이 최고점과 불일치","멂이 최저점과 불일치"))))</x:f>
      </x:c>
    </x:row>
    <x:row r="44">
      <x:c r="A44"/>
      <x:c r="B44"/>
      <x:c r="C44"/>
      <x:c r="D44"/>
      <x:c r="E44"/>
      <x:c r="F44"/>
      <x:c r="G44" t="str">
        <x:f>IF(COUNT(B44:D44)&lt;3,"",IF(B44=MAX(B44:D44),"A",IF(C44=MAX(B44:D44),"B","C")))</x:f>
      </x:c>
      <x:c r="H44" t="str">
        <x:f>IF(COUNT(B44:D44)&lt;3,"",IF(B44=MIN(B44:D44),"A",IF(C44=MIN(B44:D44),"B","C")))</x:f>
      </x:c>
      <x:c r="I44" t="str">
        <x:f>IF(OR(E44="",G44=""),"",IF(E44=G44,"Y","N"))</x:f>
      </x:c>
      <x:c r="J44" t="str">
        <x:f>IF(OR(F44="",H44=""),"",IF(F44=H44,"Y","N"))</x:f>
      </x:c>
      <x:c r="K44" t="str">
        <x:f>IF(OR(I44="",J44=""),"",IF(AND(I44="Y",J44="Y"),"",IF(AND(I44="N",J44="N"),"가까움·멂 모두 점수와 불일치",IF(I44="N","가까움이 최고점과 불일치","멂이 최저점과 불일치"))))</x:f>
      </x:c>
    </x:row>
    <x:row r="45">
      <x:c r="A45"/>
      <x:c r="B45"/>
      <x:c r="C45"/>
      <x:c r="D45"/>
      <x:c r="E45"/>
      <x:c r="F45"/>
      <x:c r="G45" t="str">
        <x:f>IF(COUNT(B45:D45)&lt;3,"",IF(B45=MAX(B45:D45),"A",IF(C45=MAX(B45:D45),"B","C")))</x:f>
      </x:c>
      <x:c r="H45" t="str">
        <x:f>IF(COUNT(B45:D45)&lt;3,"",IF(B45=MIN(B45:D45),"A",IF(C45=MIN(B45:D45),"B","C")))</x:f>
      </x:c>
      <x:c r="I45" t="str">
        <x:f>IF(OR(E45="",G45=""),"",IF(E45=G45,"Y","N"))</x:f>
      </x:c>
      <x:c r="J45" t="str">
        <x:f>IF(OR(F45="",H45=""),"",IF(F45=H45,"Y","N"))</x:f>
      </x:c>
      <x:c r="K45" t="str">
        <x:f>IF(OR(I45="",J45=""),"",IF(AND(I45="Y",J45="Y"),"",IF(AND(I45="N",J45="N"),"가까움·멂 모두 점수와 불일치",IF(I45="N","가까움이 최고점과 불일치","멂이 최저점과 불일치"))))</x:f>
      </x:c>
    </x:row>
    <x:row r="46">
      <x:c r="A46"/>
      <x:c r="B46"/>
      <x:c r="C46"/>
      <x:c r="D46"/>
      <x:c r="E46"/>
      <x:c r="F46"/>
      <x:c r="G46" t="str">
        <x:f>IF(COUNT(B46:D46)&lt;3,"",IF(B46=MAX(B46:D46),"A",IF(C46=MAX(B46:D46),"B","C")))</x:f>
      </x:c>
      <x:c r="H46" t="str">
        <x:f>IF(COUNT(B46:D46)&lt;3,"",IF(B46=MIN(B46:D46),"A",IF(C46=MIN(B46:D46),"B","C")))</x:f>
      </x:c>
      <x:c r="I46" t="str">
        <x:f>IF(OR(E46="",G46=""),"",IF(E46=G46,"Y","N"))</x:f>
      </x:c>
      <x:c r="J46" t="str">
        <x:f>IF(OR(F46="",H46=""),"",IF(F46=H46,"Y","N"))</x:f>
      </x:c>
      <x:c r="K46" t="str">
        <x:f>IF(OR(I46="",J46=""),"",IF(AND(I46="Y",J46="Y"),"",IF(AND(I46="N",J46="N"),"가까움·멂 모두 점수와 불일치",IF(I46="N","가까움이 최고점과 불일치","멂이 최저점과 불일치"))))</x:f>
      </x:c>
    </x:row>
    <x:row r="47">
      <x:c r="A47"/>
      <x:c r="B47"/>
      <x:c r="C47"/>
      <x:c r="D47"/>
      <x:c r="E47"/>
      <x:c r="F47"/>
      <x:c r="G47" t="str">
        <x:f>IF(COUNT(B47:D47)&lt;3,"",IF(B47=MAX(B47:D47),"A",IF(C47=MAX(B47:D47),"B","C")))</x:f>
      </x:c>
      <x:c r="H47" t="str">
        <x:f>IF(COUNT(B47:D47)&lt;3,"",IF(B47=MIN(B47:D47),"A",IF(C47=MIN(B47:D47),"B","C")))</x:f>
      </x:c>
      <x:c r="I47" t="str">
        <x:f>IF(OR(E47="",G47=""),"",IF(E47=G47,"Y","N"))</x:f>
      </x:c>
      <x:c r="J47" t="str">
        <x:f>IF(OR(F47="",H47=""),"",IF(F47=H47,"Y","N"))</x:f>
      </x:c>
      <x:c r="K47" t="str">
        <x:f>IF(OR(I47="",J47=""),"",IF(AND(I47="Y",J47="Y"),"",IF(AND(I47="N",J47="N"),"가까움·멂 모두 점수와 불일치",IF(I47="N","가까움이 최고점과 불일치","멂이 최저점과 불일치"))))</x:f>
      </x:c>
    </x:row>
    <x:row r="48">
      <x:c r="A48"/>
      <x:c r="B48"/>
      <x:c r="C48"/>
      <x:c r="D48"/>
      <x:c r="E48"/>
      <x:c r="F48"/>
      <x:c r="G48" t="str">
        <x:f>IF(COUNT(B48:D48)&lt;3,"",IF(B48=MAX(B48:D48),"A",IF(C48=MAX(B48:D48),"B","C")))</x:f>
      </x:c>
      <x:c r="H48" t="str">
        <x:f>IF(COUNT(B48:D48)&lt;3,"",IF(B48=MIN(B48:D48),"A",IF(C48=MIN(B48:D48),"B","C")))</x:f>
      </x:c>
      <x:c r="I48" t="str">
        <x:f>IF(OR(E48="",G48=""),"",IF(E48=G48,"Y","N"))</x:f>
      </x:c>
      <x:c r="J48" t="str">
        <x:f>IF(OR(F48="",H48=""),"",IF(F48=H48,"Y","N"))</x:f>
      </x:c>
      <x:c r="K48" t="str">
        <x:f>IF(OR(I48="",J48=""),"",IF(AND(I48="Y",J48="Y"),"",IF(AND(I48="N",J48="N"),"가까움·멂 모두 점수와 불일치",IF(I48="N","가까움이 최고점과 불일치","멂이 최저점과 불일치"))))</x:f>
      </x:c>
    </x:row>
    <x:row r="49">
      <x:c r="A49"/>
      <x:c r="B49"/>
      <x:c r="C49"/>
      <x:c r="D49"/>
      <x:c r="E49"/>
      <x:c r="F49"/>
      <x:c r="G49" t="str">
        <x:f>IF(COUNT(B49:D49)&lt;3,"",IF(B49=MAX(B49:D49),"A",IF(C49=MAX(B49:D49),"B","C")))</x:f>
      </x:c>
      <x:c r="H49" t="str">
        <x:f>IF(COUNT(B49:D49)&lt;3,"",IF(B49=MIN(B49:D49),"A",IF(C49=MIN(B49:D49),"B","C")))</x:f>
      </x:c>
      <x:c r="I49" t="str">
        <x:f>IF(OR(E49="",G49=""),"",IF(E49=G49,"Y","N"))</x:f>
      </x:c>
      <x:c r="J49" t="str">
        <x:f>IF(OR(F49="",H49=""),"",IF(F49=H49,"Y","N"))</x:f>
      </x:c>
      <x:c r="K49" t="str">
        <x:f>IF(OR(I49="",J49=""),"",IF(AND(I49="Y",J49="Y"),"",IF(AND(I49="N",J49="N"),"가까움·멂 모두 점수와 불일치",IF(I49="N","가까움이 최고점과 불일치","멂이 최저점과 불일치"))))</x:f>
      </x:c>
    </x:row>
    <x:row r="50">
      <x:c r="A50"/>
      <x:c r="B50"/>
      <x:c r="C50"/>
      <x:c r="D50"/>
      <x:c r="E50"/>
      <x:c r="F50"/>
      <x:c r="G50" t="str">
        <x:f>IF(COUNT(B50:D50)&lt;3,"",IF(B50=MAX(B50:D50),"A",IF(C50=MAX(B50:D50),"B","C")))</x:f>
      </x:c>
      <x:c r="H50" t="str">
        <x:f>IF(COUNT(B50:D50)&lt;3,"",IF(B50=MIN(B50:D50),"A",IF(C50=MIN(B50:D50),"B","C")))</x:f>
      </x:c>
      <x:c r="I50" t="str">
        <x:f>IF(OR(E50="",G50=""),"",IF(E50=G50,"Y","N"))</x:f>
      </x:c>
      <x:c r="J50" t="str">
        <x:f>IF(OR(F50="",H50=""),"",IF(F50=H50,"Y","N"))</x:f>
      </x:c>
      <x:c r="K50" t="str">
        <x:f>IF(OR(I50="",J50=""),"",IF(AND(I50="Y",J50="Y"),"",IF(AND(I50="N",J50="N"),"가까움·멂 모두 점수와 불일치",IF(I50="N","가까움이 최고점과 불일치","멂이 최저점과 불일치"))))</x:f>
      </x:c>
    </x:row>
    <x:row r="51">
      <x:c r="A51"/>
      <x:c r="B51"/>
      <x:c r="C51"/>
      <x:c r="D51"/>
      <x:c r="E51"/>
      <x:c r="F51"/>
      <x:c r="G51" t="str">
        <x:f>IF(COUNT(B51:D51)&lt;3,"",IF(B51=MAX(B51:D51),"A",IF(C51=MAX(B51:D51),"B","C")))</x:f>
      </x:c>
      <x:c r="H51" t="str">
        <x:f>IF(COUNT(B51:D51)&lt;3,"",IF(B51=MIN(B51:D51),"A",IF(C51=MIN(B51:D51),"B","C")))</x:f>
      </x:c>
      <x:c r="I51" t="str">
        <x:f>IF(OR(E51="",G51=""),"",IF(E51=G51,"Y","N"))</x:f>
      </x:c>
      <x:c r="J51" t="str">
        <x:f>IF(OR(F51="",H51=""),"",IF(F51=H51,"Y","N"))</x:f>
      </x:c>
      <x:c r="K51" t="str">
        <x:f>IF(OR(I51="",J51=""),"",IF(AND(I51="Y",J51="Y"),"",IF(AND(I51="N",J51="N"),"가까움·멂 모두 점수와 불일치",IF(I51="N","가까움이 최고점과 불일치","멂이 최저점과 불일치"))))</x:f>
      </x:c>
    </x:row>
    <x:row r="52">
      <x:c r="A52"/>
      <x:c r="B52"/>
      <x:c r="C52"/>
      <x:c r="D52"/>
      <x:c r="E52"/>
      <x:c r="F52"/>
      <x:c r="G52" t="str">
        <x:f>IF(COUNT(B52:D52)&lt;3,"",IF(B52=MAX(B52:D52),"A",IF(C52=MAX(B52:D52),"B","C")))</x:f>
      </x:c>
      <x:c r="H52" t="str">
        <x:f>IF(COUNT(B52:D52)&lt;3,"",IF(B52=MIN(B52:D52),"A",IF(C52=MIN(B52:D52),"B","C")))</x:f>
      </x:c>
      <x:c r="I52" t="str">
        <x:f>IF(OR(E52="",G52=""),"",IF(E52=G52,"Y","N"))</x:f>
      </x:c>
      <x:c r="J52" t="str">
        <x:f>IF(OR(F52="",H52=""),"",IF(F52=H52,"Y","N"))</x:f>
      </x:c>
      <x:c r="K52" t="str">
        <x:f>IF(OR(I52="",J52=""),"",IF(AND(I52="Y",J52="Y"),"",IF(AND(I52="N",J52="N"),"가까움·멂 모두 점수와 불일치",IF(I52="N","가까움이 최고점과 불일치","멂이 최저점과 불일치"))))</x:f>
      </x:c>
    </x:row>
    <x:row r="53">
      <x:c r="A53"/>
      <x:c r="B53"/>
      <x:c r="C53"/>
      <x:c r="D53"/>
      <x:c r="E53"/>
      <x:c r="F53"/>
      <x:c r="G53" t="str">
        <x:f>IF(COUNT(B53:D53)&lt;3,"",IF(B53=MAX(B53:D53),"A",IF(C53=MAX(B53:D53),"B","C")))</x:f>
      </x:c>
      <x:c r="H53" t="str">
        <x:f>IF(COUNT(B53:D53)&lt;3,"",IF(B53=MIN(B53:D53),"A",IF(C53=MIN(B53:D53),"B","C")))</x:f>
      </x:c>
      <x:c r="I53" t="str">
        <x:f>IF(OR(E53="",G53=""),"",IF(E53=G53,"Y","N"))</x:f>
      </x:c>
      <x:c r="J53" t="str">
        <x:f>IF(OR(F53="",H53=""),"",IF(F53=H53,"Y","N"))</x:f>
      </x:c>
      <x:c r="K53" t="str">
        <x:f>IF(OR(I53="",J53=""),"",IF(AND(I53="Y",J53="Y"),"",IF(AND(I53="N",J53="N"),"가까움·멂 모두 점수와 불일치",IF(I53="N","가까움이 최고점과 불일치","멂이 최저점과 불일치"))))</x:f>
      </x:c>
    </x:row>
    <x:row r="54">
      <x:c r="A54"/>
      <x:c r="B54"/>
      <x:c r="C54"/>
      <x:c r="D54"/>
      <x:c r="E54"/>
      <x:c r="F54"/>
      <x:c r="G54" t="str">
        <x:f>IF(COUNT(B54:D54)&lt;3,"",IF(B54=MAX(B54:D54),"A",IF(C54=MAX(B54:D54),"B","C")))</x:f>
      </x:c>
      <x:c r="H54" t="str">
        <x:f>IF(COUNT(B54:D54)&lt;3,"",IF(B54=MIN(B54:D54),"A",IF(C54=MIN(B54:D54),"B","C")))</x:f>
      </x:c>
      <x:c r="I54" t="str">
        <x:f>IF(OR(E54="",G54=""),"",IF(E54=G54,"Y","N"))</x:f>
      </x:c>
      <x:c r="J54" t="str">
        <x:f>IF(OR(F54="",H54=""),"",IF(F54=H54,"Y","N"))</x:f>
      </x:c>
      <x:c r="K54" t="str">
        <x:f>IF(OR(I54="",J54=""),"",IF(AND(I54="Y",J54="Y"),"",IF(AND(I54="N",J54="N"),"가까움·멂 모두 점수와 불일치",IF(I54="N","가까움이 최고점과 불일치","멂이 최저점과 불일치"))))</x:f>
      </x:c>
    </x:row>
    <x:row r="55">
      <x:c r="A55"/>
      <x:c r="B55"/>
      <x:c r="C55"/>
      <x:c r="D55"/>
      <x:c r="E55"/>
      <x:c r="F55"/>
      <x:c r="G55" t="str">
        <x:f>IF(COUNT(B55:D55)&lt;3,"",IF(B55=MAX(B55:D55),"A",IF(C55=MAX(B55:D55),"B","C")))</x:f>
      </x:c>
      <x:c r="H55" t="str">
        <x:f>IF(COUNT(B55:D55)&lt;3,"",IF(B55=MIN(B55:D55),"A",IF(C55=MIN(B55:D55),"B","C")))</x:f>
      </x:c>
      <x:c r="I55" t="str">
        <x:f>IF(OR(E55="",G55=""),"",IF(E55=G55,"Y","N"))</x:f>
      </x:c>
      <x:c r="J55" t="str">
        <x:f>IF(OR(F55="",H55=""),"",IF(F55=H55,"Y","N"))</x:f>
      </x:c>
      <x:c r="K55" t="str">
        <x:f>IF(OR(I55="",J55=""),"",IF(AND(I55="Y",J55="Y"),"",IF(AND(I55="N",J55="N"),"가까움·멂 모두 점수와 불일치",IF(I55="N","가까움이 최고점과 불일치","멂이 최저점과 불일치"))))</x:f>
      </x:c>
    </x:row>
    <x:row r="56">
      <x:c r="A56"/>
      <x:c r="B56"/>
      <x:c r="C56"/>
      <x:c r="D56"/>
      <x:c r="E56"/>
      <x:c r="F56"/>
      <x:c r="G56" t="str">
        <x:f>IF(COUNT(B56:D56)&lt;3,"",IF(B56=MAX(B56:D56),"A",IF(C56=MAX(B56:D56),"B","C")))</x:f>
      </x:c>
      <x:c r="H56" t="str">
        <x:f>IF(COUNT(B56:D56)&lt;3,"",IF(B56=MIN(B56:D56),"A",IF(C56=MIN(B56:D56),"B","C")))</x:f>
      </x:c>
      <x:c r="I56" t="str">
        <x:f>IF(OR(E56="",G56=""),"",IF(E56=G56,"Y","N"))</x:f>
      </x:c>
      <x:c r="J56" t="str">
        <x:f>IF(OR(F56="",H56=""),"",IF(F56=H56,"Y","N"))</x:f>
      </x:c>
      <x:c r="K56" t="str">
        <x:f>IF(OR(I56="",J56=""),"",IF(AND(I56="Y",J56="Y"),"",IF(AND(I56="N",J56="N"),"가까움·멂 모두 점수와 불일치",IF(I56="N","가까움이 최고점과 불일치","멂이 최저점과 불일치"))))</x:f>
      </x:c>
    </x:row>
    <x:row r="57">
      <x:c r="A57"/>
      <x:c r="B57"/>
      <x:c r="C57"/>
      <x:c r="D57"/>
      <x:c r="E57"/>
      <x:c r="F57"/>
      <x:c r="G57" t="str">
        <x:f>IF(COUNT(B57:D57)&lt;3,"",IF(B57=MAX(B57:D57),"A",IF(C57=MAX(B57:D57),"B","C")))</x:f>
      </x:c>
      <x:c r="H57" t="str">
        <x:f>IF(COUNT(B57:D57)&lt;3,"",IF(B57=MIN(B57:D57),"A",IF(C57=MIN(B57:D57),"B","C")))</x:f>
      </x:c>
      <x:c r="I57" t="str">
        <x:f>IF(OR(E57="",G57=""),"",IF(E57=G57,"Y","N"))</x:f>
      </x:c>
      <x:c r="J57" t="str">
        <x:f>IF(OR(F57="",H57=""),"",IF(F57=H57,"Y","N"))</x:f>
      </x:c>
      <x:c r="K57" t="str">
        <x:f>IF(OR(I57="",J57=""),"",IF(AND(I57="Y",J57="Y"),"",IF(AND(I57="N",J57="N"),"가까움·멂 모두 점수와 불일치",IF(I57="N","가까움이 최고점과 불일치","멂이 최저점과 불일치"))))</x:f>
      </x:c>
    </x:row>
    <x:row r="58">
      <x:c r="A58"/>
      <x:c r="B58"/>
      <x:c r="C58"/>
      <x:c r="D58"/>
      <x:c r="E58"/>
      <x:c r="F58"/>
      <x:c r="G58" t="str">
        <x:f>IF(COUNT(B58:D58)&lt;3,"",IF(B58=MAX(B58:D58),"A",IF(C58=MAX(B58:D58),"B","C")))</x:f>
      </x:c>
      <x:c r="H58" t="str">
        <x:f>IF(COUNT(B58:D58)&lt;3,"",IF(B58=MIN(B58:D58),"A",IF(C58=MIN(B58:D58),"B","C")))</x:f>
      </x:c>
      <x:c r="I58" t="str">
        <x:f>IF(OR(E58="",G58=""),"",IF(E58=G58,"Y","N"))</x:f>
      </x:c>
      <x:c r="J58" t="str">
        <x:f>IF(OR(F58="",H58=""),"",IF(F58=H58,"Y","N"))</x:f>
      </x:c>
      <x:c r="K58" t="str">
        <x:f>IF(OR(I58="",J58=""),"",IF(AND(I58="Y",J58="Y"),"",IF(AND(I58="N",J58="N"),"가까움·멂 모두 점수와 불일치",IF(I58="N","가까움이 최고점과 불일치","멂이 최저점과 불일치"))))</x:f>
      </x:c>
    </x:row>
    <x:row r="59">
      <x:c r="A59"/>
      <x:c r="B59"/>
      <x:c r="C59"/>
      <x:c r="D59"/>
      <x:c r="E59"/>
      <x:c r="F59"/>
      <x:c r="G59" t="str">
        <x:f>IF(COUNT(B59:D59)&lt;3,"",IF(B59=MAX(B59:D59),"A",IF(C59=MAX(B59:D59),"B","C")))</x:f>
      </x:c>
      <x:c r="H59" t="str">
        <x:f>IF(COUNT(B59:D59)&lt;3,"",IF(B59=MIN(B59:D59),"A",IF(C59=MIN(B59:D59),"B","C")))</x:f>
      </x:c>
      <x:c r="I59" t="str">
        <x:f>IF(OR(E59="",G59=""),"",IF(E59=G59,"Y","N"))</x:f>
      </x:c>
      <x:c r="J59" t="str">
        <x:f>IF(OR(F59="",H59=""),"",IF(F59=H59,"Y","N"))</x:f>
      </x:c>
      <x:c r="K59" t="str">
        <x:f>IF(OR(I59="",J59=""),"",IF(AND(I59="Y",J59="Y"),"",IF(AND(I59="N",J59="N"),"가까움·멂 모두 점수와 불일치",IF(I59="N","가까움이 최고점과 불일치","멂이 최저점과 불일치"))))</x:f>
      </x:c>
    </x:row>
    <x:row r="60">
      <x:c r="A60"/>
      <x:c r="B60"/>
      <x:c r="C60"/>
      <x:c r="D60"/>
      <x:c r="E60"/>
      <x:c r="F60"/>
      <x:c r="G60" t="str">
        <x:f>IF(COUNT(B60:D60)&lt;3,"",IF(B60=MAX(B60:D60),"A",IF(C60=MAX(B60:D60),"B","C")))</x:f>
      </x:c>
      <x:c r="H60" t="str">
        <x:f>IF(COUNT(B60:D60)&lt;3,"",IF(B60=MIN(B60:D60),"A",IF(C60=MIN(B60:D60),"B","C")))</x:f>
      </x:c>
      <x:c r="I60" t="str">
        <x:f>IF(OR(E60="",G60=""),"",IF(E60=G60,"Y","N"))</x:f>
      </x:c>
      <x:c r="J60" t="str">
        <x:f>IF(OR(F60="",H60=""),"",IF(F60=H60,"Y","N"))</x:f>
      </x:c>
      <x:c r="K60" t="str">
        <x:f>IF(OR(I60="",J60=""),"",IF(AND(I60="Y",J60="Y"),"",IF(AND(I60="N",J60="N"),"가까움·멂 모두 점수와 불일치",IF(I60="N","가까움이 최고점과 불일치","멂이 최저점과 불일치"))))</x:f>
      </x:c>
    </x:row>
    <x:row r="61">
      <x:c r="A61"/>
      <x:c r="B61"/>
      <x:c r="C61"/>
      <x:c r="D61"/>
      <x:c r="E61"/>
      <x:c r="F61"/>
      <x:c r="G61" t="str">
        <x:f>IF(COUNT(B61:D61)&lt;3,"",IF(B61=MAX(B61:D61),"A",IF(C61=MAX(B61:D61),"B","C")))</x:f>
      </x:c>
      <x:c r="H61" t="str">
        <x:f>IF(COUNT(B61:D61)&lt;3,"",IF(B61=MIN(B61:D61),"A",IF(C61=MIN(B61:D61),"B","C")))</x:f>
      </x:c>
      <x:c r="I61" t="str">
        <x:f>IF(OR(E61="",G61=""),"",IF(E61=G61,"Y","N"))</x:f>
      </x:c>
      <x:c r="J61" t="str">
        <x:f>IF(OR(F61="",H61=""),"",IF(F61=H61,"Y","N"))</x:f>
      </x:c>
      <x:c r="K61" t="str">
        <x:f>IF(OR(I61="",J61=""),"",IF(AND(I61="Y",J61="Y"),"",IF(AND(I61="N",J61="N"),"가까움·멂 모두 점수와 불일치",IF(I61="N","가까움이 최고점과 불일치","멂이 최저점과 불일치"))))</x:f>
      </x:c>
    </x:row>
    <x:row r="62">
      <x:c r="A62"/>
      <x:c r="B62"/>
      <x:c r="C62"/>
      <x:c r="D62"/>
      <x:c r="E62"/>
      <x:c r="F62"/>
      <x:c r="G62" t="str">
        <x:f>IF(COUNT(B62:D62)&lt;3,"",IF(B62=MAX(B62:D62),"A",IF(C62=MAX(B62:D62),"B","C")))</x:f>
      </x:c>
      <x:c r="H62" t="str">
        <x:f>IF(COUNT(B62:D62)&lt;3,"",IF(B62=MIN(B62:D62),"A",IF(C62=MIN(B62:D62),"B","C")))</x:f>
      </x:c>
      <x:c r="I62" t="str">
        <x:f>IF(OR(E62="",G62=""),"",IF(E62=G62,"Y","N"))</x:f>
      </x:c>
      <x:c r="J62" t="str">
        <x:f>IF(OR(F62="",H62=""),"",IF(F62=H62,"Y","N"))</x:f>
      </x:c>
      <x:c r="K62" t="str">
        <x:f>IF(OR(I62="",J62=""),"",IF(AND(I62="Y",J62="Y"),"",IF(AND(I62="N",J62="N"),"가까움·멂 모두 점수와 불일치",IF(I62="N","가까움이 최고점과 불일치","멂이 최저점과 불일치"))))</x:f>
      </x:c>
    </x:row>
    <x:row r="63">
      <x:c r="A63"/>
      <x:c r="B63"/>
      <x:c r="C63"/>
      <x:c r="D63"/>
      <x:c r="E63"/>
      <x:c r="F63"/>
      <x:c r="G63" t="str">
        <x:f>IF(COUNT(B63:D63)&lt;3,"",IF(B63=MAX(B63:D63),"A",IF(C63=MAX(B63:D63),"B","C")))</x:f>
      </x:c>
      <x:c r="H63" t="str">
        <x:f>IF(COUNT(B63:D63)&lt;3,"",IF(B63=MIN(B63:D63),"A",IF(C63=MIN(B63:D63),"B","C")))</x:f>
      </x:c>
      <x:c r="I63" t="str">
        <x:f>IF(OR(E63="",G63=""),"",IF(E63=G63,"Y","N"))</x:f>
      </x:c>
      <x:c r="J63" t="str">
        <x:f>IF(OR(F63="",H63=""),"",IF(F63=H63,"Y","N"))</x:f>
      </x:c>
      <x:c r="K63" t="str">
        <x:f>IF(OR(I63="",J63=""),"",IF(AND(I63="Y",J63="Y"),"",IF(AND(I63="N",J63="N"),"가까움·멂 모두 점수와 불일치",IF(I63="N","가까움이 최고점과 불일치","멂이 최저점과 불일치"))))</x:f>
      </x:c>
    </x:row>
    <x:row r="64">
      <x:c r="A64"/>
      <x:c r="B64"/>
      <x:c r="C64"/>
      <x:c r="D64"/>
      <x:c r="E64"/>
      <x:c r="F64"/>
      <x:c r="G64" t="str">
        <x:f>IF(COUNT(B64:D64)&lt;3,"",IF(B64=MAX(B64:D64),"A",IF(C64=MAX(B64:D64),"B","C")))</x:f>
      </x:c>
      <x:c r="H64" t="str">
        <x:f>IF(COUNT(B64:D64)&lt;3,"",IF(B64=MIN(B64:D64),"A",IF(C64=MIN(B64:D64),"B","C")))</x:f>
      </x:c>
      <x:c r="I64" t="str">
        <x:f>IF(OR(E64="",G64=""),"",IF(E64=G64,"Y","N"))</x:f>
      </x:c>
      <x:c r="J64" t="str">
        <x:f>IF(OR(F64="",H64=""),"",IF(F64=H64,"Y","N"))</x:f>
      </x:c>
      <x:c r="K64" t="str">
        <x:f>IF(OR(I64="",J64=""),"",IF(AND(I64="Y",J64="Y"),"",IF(AND(I64="N",J64="N"),"가까움·멂 모두 점수와 불일치",IF(I64="N","가까움이 최고점과 불일치","멂이 최저점과 불일치"))))</x:f>
      </x:c>
    </x:row>
    <x:row r="65">
      <x:c r="A65"/>
      <x:c r="B65"/>
      <x:c r="C65"/>
      <x:c r="D65"/>
      <x:c r="E65"/>
      <x:c r="F65"/>
      <x:c r="G65" t="str">
        <x:f>IF(COUNT(B65:D65)&lt;3,"",IF(B65=MAX(B65:D65),"A",IF(C65=MAX(B65:D65),"B","C")))</x:f>
      </x:c>
      <x:c r="H65" t="str">
        <x:f>IF(COUNT(B65:D65)&lt;3,"",IF(B65=MIN(B65:D65),"A",IF(C65=MIN(B65:D65),"B","C")))</x:f>
      </x:c>
      <x:c r="I65" t="str">
        <x:f>IF(OR(E65="",G65=""),"",IF(E65=G65,"Y","N"))</x:f>
      </x:c>
      <x:c r="J65" t="str">
        <x:f>IF(OR(F65="",H65=""),"",IF(F65=H65,"Y","N"))</x:f>
      </x:c>
      <x:c r="K65" t="str">
        <x:f>IF(OR(I65="",J65=""),"",IF(AND(I65="Y",J65="Y"),"",IF(AND(I65="N",J65="N"),"가까움·멂 모두 점수와 불일치",IF(I65="N","가까움이 최고점과 불일치","멂이 최저점과 불일치"))))</x:f>
      </x:c>
    </x:row>
    <x:row r="66">
      <x:c r="A66"/>
      <x:c r="B66"/>
      <x:c r="C66"/>
      <x:c r="D66"/>
      <x:c r="E66"/>
      <x:c r="F66"/>
      <x:c r="G66" t="str">
        <x:f>IF(COUNT(B66:D66)&lt;3,"",IF(B66=MAX(B66:D66),"A",IF(C66=MAX(B66:D66),"B","C")))</x:f>
      </x:c>
      <x:c r="H66" t="str">
        <x:f>IF(COUNT(B66:D66)&lt;3,"",IF(B66=MIN(B66:D66),"A",IF(C66=MIN(B66:D66),"B","C")))</x:f>
      </x:c>
      <x:c r="I66" t="str">
        <x:f>IF(OR(E66="",G66=""),"",IF(E66=G66,"Y","N"))</x:f>
      </x:c>
      <x:c r="J66" t="str">
        <x:f>IF(OR(F66="",H66=""),"",IF(F66=H66,"Y","N"))</x:f>
      </x:c>
      <x:c r="K66" t="str">
        <x:f>IF(OR(I66="",J66=""),"",IF(AND(I66="Y",J66="Y"),"",IF(AND(I66="N",J66="N"),"가까움·멂 모두 점수와 불일치",IF(I66="N","가까움이 최고점과 불일치","멂이 최저점과 불일치"))))</x:f>
      </x:c>
    </x:row>
    <x:row r="67">
      <x:c r="A67"/>
      <x:c r="B67"/>
      <x:c r="C67"/>
      <x:c r="D67"/>
      <x:c r="E67"/>
      <x:c r="F67"/>
      <x:c r="G67" t="str">
        <x:f>IF(COUNT(B67:D67)&lt;3,"",IF(B67=MAX(B67:D67),"A",IF(C67=MAX(B67:D67),"B","C")))</x:f>
      </x:c>
      <x:c r="H67" t="str">
        <x:f>IF(COUNT(B67:D67)&lt;3,"",IF(B67=MIN(B67:D67),"A",IF(C67=MIN(B67:D67),"B","C")))</x:f>
      </x:c>
      <x:c r="I67" t="str">
        <x:f>IF(OR(E67="",G67=""),"",IF(E67=G67,"Y","N"))</x:f>
      </x:c>
      <x:c r="J67" t="str">
        <x:f>IF(OR(F67="",H67=""),"",IF(F67=H67,"Y","N"))</x:f>
      </x:c>
      <x:c r="K67" t="str">
        <x:f>IF(OR(I67="",J67=""),"",IF(AND(I67="Y",J67="Y"),"",IF(AND(I67="N",J67="N"),"가까움·멂 모두 점수와 불일치",IF(I67="N","가까움이 최고점과 불일치","멂이 최저점과 불일치"))))</x:f>
      </x:c>
    </x:row>
    <x:row r="68">
      <x:c r="A68"/>
      <x:c r="B68"/>
      <x:c r="C68"/>
      <x:c r="D68"/>
      <x:c r="E68"/>
      <x:c r="F68"/>
      <x:c r="G68" t="str">
        <x:f>IF(COUNT(B68:D68)&lt;3,"",IF(B68=MAX(B68:D68),"A",IF(C68=MAX(B68:D68),"B","C")))</x:f>
      </x:c>
      <x:c r="H68" t="str">
        <x:f>IF(COUNT(B68:D68)&lt;3,"",IF(B68=MIN(B68:D68),"A",IF(C68=MIN(B68:D68),"B","C")))</x:f>
      </x:c>
      <x:c r="I68" t="str">
        <x:f>IF(OR(E68="",G68=""),"",IF(E68=G68,"Y","N"))</x:f>
      </x:c>
      <x:c r="J68" t="str">
        <x:f>IF(OR(F68="",H68=""),"",IF(F68=H68,"Y","N"))</x:f>
      </x:c>
      <x:c r="K68" t="str">
        <x:f>IF(OR(I68="",J68=""),"",IF(AND(I68="Y",J68="Y"),"",IF(AND(I68="N",J68="N"),"가까움·멂 모두 점수와 불일치",IF(I68="N","가까움이 최고점과 불일치","멂이 최저점과 불일치"))))</x:f>
      </x:c>
    </x:row>
    <x:row r="69">
      <x:c r="A69"/>
      <x:c r="B69"/>
      <x:c r="C69"/>
      <x:c r="D69"/>
      <x:c r="E69"/>
      <x:c r="F69"/>
      <x:c r="G69" t="str">
        <x:f>IF(COUNT(B69:D69)&lt;3,"",IF(B69=MAX(B69:D69),"A",IF(C69=MAX(B69:D69),"B","C")))</x:f>
      </x:c>
      <x:c r="H69" t="str">
        <x:f>IF(COUNT(B69:D69)&lt;3,"",IF(B69=MIN(B69:D69),"A",IF(C69=MIN(B69:D69),"B","C")))</x:f>
      </x:c>
      <x:c r="I69" t="str">
        <x:f>IF(OR(E69="",G69=""),"",IF(E69=G69,"Y","N"))</x:f>
      </x:c>
      <x:c r="J69" t="str">
        <x:f>IF(OR(F69="",H69=""),"",IF(F69=H69,"Y","N"))</x:f>
      </x:c>
      <x:c r="K69" t="str">
        <x:f>IF(OR(I69="",J69=""),"",IF(AND(I69="Y",J69="Y"),"",IF(AND(I69="N",J69="N"),"가까움·멂 모두 점수와 불일치",IF(I69="N","가까움이 최고점과 불일치","멂이 최저점과 불일치"))))</x:f>
      </x:c>
    </x:row>
    <x:row r="70">
      <x:c r="A70"/>
      <x:c r="B70"/>
      <x:c r="C70"/>
      <x:c r="D70"/>
      <x:c r="E70"/>
      <x:c r="F70"/>
      <x:c r="G70" t="str">
        <x:f>IF(COUNT(B70:D70)&lt;3,"",IF(B70=MAX(B70:D70),"A",IF(C70=MAX(B70:D70),"B","C")))</x:f>
      </x:c>
      <x:c r="H70" t="str">
        <x:f>IF(COUNT(B70:D70)&lt;3,"",IF(B70=MIN(B70:D70),"A",IF(C70=MIN(B70:D70),"B","C")))</x:f>
      </x:c>
      <x:c r="I70" t="str">
        <x:f>IF(OR(E70="",G70=""),"",IF(E70=G70,"Y","N"))</x:f>
      </x:c>
      <x:c r="J70" t="str">
        <x:f>IF(OR(F70="",H70=""),"",IF(F70=H70,"Y","N"))</x:f>
      </x:c>
      <x:c r="K70" t="str">
        <x:f>IF(OR(I70="",J70=""),"",IF(AND(I70="Y",J70="Y"),"",IF(AND(I70="N",J70="N"),"가까움·멂 모두 점수와 불일치",IF(I70="N","가까움이 최고점과 불일치","멂이 최저점과 불일치"))))</x:f>
      </x:c>
    </x:row>
    <x:row r="71">
      <x:c r="A71"/>
      <x:c r="B71"/>
      <x:c r="C71"/>
      <x:c r="D71"/>
      <x:c r="E71"/>
      <x:c r="F71"/>
      <x:c r="G71" t="str">
        <x:f>IF(COUNT(B71:D71)&lt;3,"",IF(B71=MAX(B71:D71),"A",IF(C71=MAX(B71:D71),"B","C")))</x:f>
      </x:c>
      <x:c r="H71" t="str">
        <x:f>IF(COUNT(B71:D71)&lt;3,"",IF(B71=MIN(B71:D71),"A",IF(C71=MIN(B71:D71),"B","C")))</x:f>
      </x:c>
      <x:c r="I71" t="str">
        <x:f>IF(OR(E71="",G71=""),"",IF(E71=G71,"Y","N"))</x:f>
      </x:c>
      <x:c r="J71" t="str">
        <x:f>IF(OR(F71="",H71=""),"",IF(F71=H71,"Y","N"))</x:f>
      </x:c>
      <x:c r="K71" t="str">
        <x:f>IF(OR(I71="",J71=""),"",IF(AND(I71="Y",J71="Y"),"",IF(AND(I71="N",J71="N"),"가까움·멂 모두 점수와 불일치",IF(I71="N","가까움이 최고점과 불일치","멂이 최저점과 불일치"))))</x:f>
      </x:c>
    </x:row>
    <x:row r="72">
      <x:c r="A72"/>
      <x:c r="B72"/>
      <x:c r="C72"/>
      <x:c r="D72"/>
      <x:c r="E72"/>
      <x:c r="F72"/>
      <x:c r="G72" t="str">
        <x:f>IF(COUNT(B72:D72)&lt;3,"",IF(B72=MAX(B72:D72),"A",IF(C72=MAX(B72:D72),"B","C")))</x:f>
      </x:c>
      <x:c r="H72" t="str">
        <x:f>IF(COUNT(B72:D72)&lt;3,"",IF(B72=MIN(B72:D72),"A",IF(C72=MIN(B72:D72),"B","C")))</x:f>
      </x:c>
      <x:c r="I72" t="str">
        <x:f>IF(OR(E72="",G72=""),"",IF(E72=G72,"Y","N"))</x:f>
      </x:c>
      <x:c r="J72" t="str">
        <x:f>IF(OR(F72="",H72=""),"",IF(F72=H72,"Y","N"))</x:f>
      </x:c>
      <x:c r="K72" t="str">
        <x:f>IF(OR(I72="",J72=""),"",IF(AND(I72="Y",J72="Y"),"",IF(AND(I72="N",J72="N"),"가까움·멂 모두 점수와 불일치",IF(I72="N","가까움이 최고점과 불일치","멂이 최저점과 불일치"))))</x:f>
      </x:c>
    </x:row>
    <x:row r="73">
      <x:c r="A73"/>
      <x:c r="B73"/>
      <x:c r="C73"/>
      <x:c r="D73"/>
      <x:c r="E73"/>
      <x:c r="F73"/>
      <x:c r="G73" t="str">
        <x:f>IF(COUNT(B73:D73)&lt;3,"",IF(B73=MAX(B73:D73),"A",IF(C73=MAX(B73:D73),"B","C")))</x:f>
      </x:c>
      <x:c r="H73" t="str">
        <x:f>IF(COUNT(B73:D73)&lt;3,"",IF(B73=MIN(B73:D73),"A",IF(C73=MIN(B73:D73),"B","C")))</x:f>
      </x:c>
      <x:c r="I73" t="str">
        <x:f>IF(OR(E73="",G73=""),"",IF(E73=G73,"Y","N"))</x:f>
      </x:c>
      <x:c r="J73" t="str">
        <x:f>IF(OR(F73="",H73=""),"",IF(F73=H73,"Y","N"))</x:f>
      </x:c>
      <x:c r="K73" t="str">
        <x:f>IF(OR(I73="",J73=""),"",IF(AND(I73="Y",J73="Y"),"",IF(AND(I73="N",J73="N"),"가까움·멂 모두 점수와 불일치",IF(I73="N","가까움이 최고점과 불일치","멂이 최저점과 불일치"))))</x:f>
      </x:c>
    </x:row>
    <x:row r="74">
      <x:c r="A74"/>
      <x:c r="B74"/>
      <x:c r="C74"/>
      <x:c r="D74"/>
      <x:c r="E74"/>
      <x:c r="F74"/>
      <x:c r="G74" t="str">
        <x:f>IF(COUNT(B74:D74)&lt;3,"",IF(B74=MAX(B74:D74),"A",IF(C74=MAX(B74:D74),"B","C")))</x:f>
      </x:c>
      <x:c r="H74" t="str">
        <x:f>IF(COUNT(B74:D74)&lt;3,"",IF(B74=MIN(B74:D74),"A",IF(C74=MIN(B74:D74),"B","C")))</x:f>
      </x:c>
      <x:c r="I74" t="str">
        <x:f>IF(OR(E74="",G74=""),"",IF(E74=G74,"Y","N"))</x:f>
      </x:c>
      <x:c r="J74" t="str">
        <x:f>IF(OR(F74="",H74=""),"",IF(F74=H74,"Y","N"))</x:f>
      </x:c>
      <x:c r="K74" t="str">
        <x:f>IF(OR(I74="",J74=""),"",IF(AND(I74="Y",J74="Y"),"",IF(AND(I74="N",J74="N"),"가까움·멂 모두 점수와 불일치",IF(I74="N","가까움이 최고점과 불일치","멂이 최저점과 불일치"))))</x:f>
      </x:c>
    </x:row>
    <x:row r="75">
      <x:c r="A75"/>
      <x:c r="B75"/>
      <x:c r="C75"/>
      <x:c r="D75"/>
      <x:c r="E75"/>
      <x:c r="F75"/>
      <x:c r="G75" t="str">
        <x:f>IF(COUNT(B75:D75)&lt;3,"",IF(B75=MAX(B75:D75),"A",IF(C75=MAX(B75:D75),"B","C")))</x:f>
      </x:c>
      <x:c r="H75" t="str">
        <x:f>IF(COUNT(B75:D75)&lt;3,"",IF(B75=MIN(B75:D75),"A",IF(C75=MIN(B75:D75),"B","C")))</x:f>
      </x:c>
      <x:c r="I75" t="str">
        <x:f>IF(OR(E75="",G75=""),"",IF(E75=G75,"Y","N"))</x:f>
      </x:c>
      <x:c r="J75" t="str">
        <x:f>IF(OR(F75="",H75=""),"",IF(F75=H75,"Y","N"))</x:f>
      </x:c>
      <x:c r="K75" t="str">
        <x:f>IF(OR(I75="",J75=""),"",IF(AND(I75="Y",J75="Y"),"",IF(AND(I75="N",J75="N"),"가까움·멂 모두 점수와 불일치",IF(I75="N","가까움이 최고점과 불일치","멂이 최저점과 불일치"))))</x:f>
      </x:c>
    </x:row>
    <x:row r="76">
      <x:c r="A76"/>
      <x:c r="B76"/>
      <x:c r="C76"/>
      <x:c r="D76"/>
      <x:c r="E76"/>
      <x:c r="F76"/>
      <x:c r="G76" t="str">
        <x:f>IF(COUNT(B76:D76)&lt;3,"",IF(B76=MAX(B76:D76),"A",IF(C76=MAX(B76:D76),"B","C")))</x:f>
      </x:c>
      <x:c r="H76" t="str">
        <x:f>IF(COUNT(B76:D76)&lt;3,"",IF(B76=MIN(B76:D76),"A",IF(C76=MIN(B76:D76),"B","C")))</x:f>
      </x:c>
      <x:c r="I76" t="str">
        <x:f>IF(OR(E76="",G76=""),"",IF(E76=G76,"Y","N"))</x:f>
      </x:c>
      <x:c r="J76" t="str">
        <x:f>IF(OR(F76="",H76=""),"",IF(F76=H76,"Y","N"))</x:f>
      </x:c>
      <x:c r="K76" t="str">
        <x:f>IF(OR(I76="",J76=""),"",IF(AND(I76="Y",J76="Y"),"",IF(AND(I76="N",J76="N"),"가까움·멂 모두 점수와 불일치",IF(I76="N","가까움이 최고점과 불일치","멂이 최저점과 불일치"))))</x:f>
      </x:c>
    </x:row>
    <x:row r="77">
      <x:c r="A77"/>
      <x:c r="B77"/>
      <x:c r="C77"/>
      <x:c r="D77"/>
      <x:c r="E77"/>
      <x:c r="F77"/>
      <x:c r="G77" t="str">
        <x:f>IF(COUNT(B77:D77)&lt;3,"",IF(B77=MAX(B77:D77),"A",IF(C77=MAX(B77:D77),"B","C")))</x:f>
      </x:c>
      <x:c r="H77" t="str">
        <x:f>IF(COUNT(B77:D77)&lt;3,"",IF(B77=MIN(B77:D77),"A",IF(C77=MIN(B77:D77),"B","C")))</x:f>
      </x:c>
      <x:c r="I77" t="str">
        <x:f>IF(OR(E77="",G77=""),"",IF(E77=G77,"Y","N"))</x:f>
      </x:c>
      <x:c r="J77" t="str">
        <x:f>IF(OR(F77="",H77=""),"",IF(F77=H77,"Y","N"))</x:f>
      </x:c>
      <x:c r="K77" t="str">
        <x:f>IF(OR(I77="",J77=""),"",IF(AND(I77="Y",J77="Y"),"",IF(AND(I77="N",J77="N"),"가까움·멂 모두 점수와 불일치",IF(I77="N","가까움이 최고점과 불일치","멂이 최저점과 불일치"))))</x:f>
      </x:c>
    </x:row>
    <x:row r="78">
      <x:c r="A78"/>
      <x:c r="B78"/>
      <x:c r="C78"/>
      <x:c r="D78"/>
      <x:c r="E78"/>
      <x:c r="F78"/>
      <x:c r="G78" t="str">
        <x:f>IF(COUNT(B78:D78)&lt;3,"",IF(B78=MAX(B78:D78),"A",IF(C78=MAX(B78:D78),"B","C")))</x:f>
      </x:c>
      <x:c r="H78" t="str">
        <x:f>IF(COUNT(B78:D78)&lt;3,"",IF(B78=MIN(B78:D78),"A",IF(C78=MIN(B78:D78),"B","C")))</x:f>
      </x:c>
      <x:c r="I78" t="str">
        <x:f>IF(OR(E78="",G78=""),"",IF(E78=G78,"Y","N"))</x:f>
      </x:c>
      <x:c r="J78" t="str">
        <x:f>IF(OR(F78="",H78=""),"",IF(F78=H78,"Y","N"))</x:f>
      </x:c>
      <x:c r="K78" t="str">
        <x:f>IF(OR(I78="",J78=""),"",IF(AND(I78="Y",J78="Y"),"",IF(AND(I78="N",J78="N"),"가까움·멂 모두 점수와 불일치",IF(I78="N","가까움이 최고점과 불일치","멂이 최저점과 불일치"))))</x:f>
      </x:c>
    </x:row>
    <x:row r="79">
      <x:c r="A79"/>
      <x:c r="B79"/>
      <x:c r="C79"/>
      <x:c r="D79"/>
      <x:c r="E79"/>
      <x:c r="F79"/>
      <x:c r="G79" t="str">
        <x:f>IF(COUNT(B79:D79)&lt;3,"",IF(B79=MAX(B79:D79),"A",IF(C79=MAX(B79:D79),"B","C")))</x:f>
      </x:c>
      <x:c r="H79" t="str">
        <x:f>IF(COUNT(B79:D79)&lt;3,"",IF(B79=MIN(B79:D79),"A",IF(C79=MIN(B79:D79),"B","C")))</x:f>
      </x:c>
      <x:c r="I79" t="str">
        <x:f>IF(OR(E79="",G79=""),"",IF(E79=G79,"Y","N"))</x:f>
      </x:c>
      <x:c r="J79" t="str">
        <x:f>IF(OR(F79="",H79=""),"",IF(F79=H79,"Y","N"))</x:f>
      </x:c>
      <x:c r="K79" t="str">
        <x:f>IF(OR(I79="",J79=""),"",IF(AND(I79="Y",J79="Y"),"",IF(AND(I79="N",J79="N"),"가까움·멂 모두 점수와 불일치",IF(I79="N","가까움이 최고점과 불일치","멂이 최저점과 불일치"))))</x:f>
      </x:c>
    </x:row>
    <x:row r="80">
      <x:c r="A80"/>
      <x:c r="B80"/>
      <x:c r="C80"/>
      <x:c r="D80"/>
      <x:c r="E80"/>
      <x:c r="F80"/>
      <x:c r="G80" t="str">
        <x:f>IF(COUNT(B80:D80)&lt;3,"",IF(B80=MAX(B80:D80),"A",IF(C80=MAX(B80:D80),"B","C")))</x:f>
      </x:c>
      <x:c r="H80" t="str">
        <x:f>IF(COUNT(B80:D80)&lt;3,"",IF(B80=MIN(B80:D80),"A",IF(C80=MIN(B80:D80),"B","C")))</x:f>
      </x:c>
      <x:c r="I80" t="str">
        <x:f>IF(OR(E80="",G80=""),"",IF(E80=G80,"Y","N"))</x:f>
      </x:c>
      <x:c r="J80" t="str">
        <x:f>IF(OR(F80="",H80=""),"",IF(F80=H80,"Y","N"))</x:f>
      </x:c>
      <x:c r="K80" t="str">
        <x:f>IF(OR(I80="",J80=""),"",IF(AND(I80="Y",J80="Y"),"",IF(AND(I80="N",J80="N"),"가까움·멂 모두 점수와 불일치",IF(I80="N","가까움이 최고점과 불일치","멂이 최저점과 불일치"))))</x:f>
      </x:c>
    </x:row>
    <x:row r="81">
      <x:c r="A81"/>
      <x:c r="B81"/>
      <x:c r="C81"/>
      <x:c r="D81"/>
      <x:c r="E81"/>
      <x:c r="F81"/>
      <x:c r="G81" t="str">
        <x:f>IF(COUNT(B81:D81)&lt;3,"",IF(B81=MAX(B81:D81),"A",IF(C81=MAX(B81:D81),"B","C")))</x:f>
      </x:c>
      <x:c r="H81" t="str">
        <x:f>IF(COUNT(B81:D81)&lt;3,"",IF(B81=MIN(B81:D81),"A",IF(C81=MIN(B81:D81),"B","C")))</x:f>
      </x:c>
      <x:c r="I81" t="str">
        <x:f>IF(OR(E81="",G81=""),"",IF(E81=G81,"Y","N"))</x:f>
      </x:c>
      <x:c r="J81" t="str">
        <x:f>IF(OR(F81="",H81=""),"",IF(F81=H81,"Y","N"))</x:f>
      </x:c>
      <x:c r="K81" t="str">
        <x:f>IF(OR(I81="",J81=""),"",IF(AND(I81="Y",J81="Y"),"",IF(AND(I81="N",J81="N"),"가까움·멂 모두 점수와 불일치",IF(I81="N","가까움이 최고점과 불일치","멂이 최저점과 불일치"))))</x:f>
      </x:c>
    </x:row>
    <x:row r="82">
      <x:c r="A82"/>
      <x:c r="B82"/>
      <x:c r="C82"/>
      <x:c r="D82"/>
      <x:c r="E82"/>
      <x:c r="F82"/>
      <x:c r="G82" t="str">
        <x:f>IF(COUNT(B82:D82)&lt;3,"",IF(B82=MAX(B82:D82),"A",IF(C82=MAX(B82:D82),"B","C")))</x:f>
      </x:c>
      <x:c r="H82" t="str">
        <x:f>IF(COUNT(B82:D82)&lt;3,"",IF(B82=MIN(B82:D82),"A",IF(C82=MIN(B82:D82),"B","C")))</x:f>
      </x:c>
      <x:c r="I82" t="str">
        <x:f>IF(OR(E82="",G82=""),"",IF(E82=G82,"Y","N"))</x:f>
      </x:c>
      <x:c r="J82" t="str">
        <x:f>IF(OR(F82="",H82=""),"",IF(F82=H82,"Y","N"))</x:f>
      </x:c>
      <x:c r="K82" t="str">
        <x:f>IF(OR(I82="",J82=""),"",IF(AND(I82="Y",J82="Y"),"",IF(AND(I82="N",J82="N"),"가까움·멂 모두 점수와 불일치",IF(I82="N","가까움이 최고점과 불일치","멂이 최저점과 불일치"))))</x:f>
      </x:c>
    </x:row>
    <x:row r="83">
      <x:c r="A83"/>
      <x:c r="B83"/>
      <x:c r="C83"/>
      <x:c r="D83"/>
      <x:c r="E83"/>
      <x:c r="F83"/>
      <x:c r="G83" t="str">
        <x:f>IF(COUNT(B83:D83)&lt;3,"",IF(B83=MAX(B83:D83),"A",IF(C83=MAX(B83:D83),"B","C")))</x:f>
      </x:c>
      <x:c r="H83" t="str">
        <x:f>IF(COUNT(B83:D83)&lt;3,"",IF(B83=MIN(B83:D83),"A",IF(C83=MIN(B83:D83),"B","C")))</x:f>
      </x:c>
      <x:c r="I83" t="str">
        <x:f>IF(OR(E83="",G83=""),"",IF(E83=G83,"Y","N"))</x:f>
      </x:c>
      <x:c r="J83" t="str">
        <x:f>IF(OR(F83="",H83=""),"",IF(F83=H83,"Y","N"))</x:f>
      </x:c>
      <x:c r="K83" t="str">
        <x:f>IF(OR(I83="",J83=""),"",IF(AND(I83="Y",J83="Y"),"",IF(AND(I83="N",J83="N"),"가까움·멂 모두 점수와 불일치",IF(I83="N","가까움이 최고점과 불일치","멂이 최저점과 불일치"))))</x:f>
      </x:c>
    </x:row>
    <x:row r="84">
      <x:c r="A84"/>
      <x:c r="B84"/>
      <x:c r="C84"/>
      <x:c r="D84"/>
      <x:c r="E84"/>
      <x:c r="F84"/>
      <x:c r="G84" t="str">
        <x:f>IF(COUNT(B84:D84)&lt;3,"",IF(B84=MAX(B84:D84),"A",IF(C84=MAX(B84:D84),"B","C")))</x:f>
      </x:c>
      <x:c r="H84" t="str">
        <x:f>IF(COUNT(B84:D84)&lt;3,"",IF(B84=MIN(B84:D84),"A",IF(C84=MIN(B84:D84),"B","C")))</x:f>
      </x:c>
      <x:c r="I84" t="str">
        <x:f>IF(OR(E84="",G84=""),"",IF(E84=G84,"Y","N"))</x:f>
      </x:c>
      <x:c r="J84" t="str">
        <x:f>IF(OR(F84="",H84=""),"",IF(F84=H84,"Y","N"))</x:f>
      </x:c>
      <x:c r="K84" t="str">
        <x:f>IF(OR(I84="",J84=""),"",IF(AND(I84="Y",J84="Y"),"",IF(AND(I84="N",J84="N"),"가까움·멂 모두 점수와 불일치",IF(I84="N","가까움이 최고점과 불일치","멂이 최저점과 불일치"))))</x:f>
      </x:c>
    </x:row>
    <x:row r="85">
      <x:c r="A85"/>
      <x:c r="B85"/>
      <x:c r="C85"/>
      <x:c r="D85"/>
      <x:c r="E85"/>
      <x:c r="F85"/>
      <x:c r="G85" t="str">
        <x:f>IF(COUNT(B85:D85)&lt;3,"",IF(B85=MAX(B85:D85),"A",IF(C85=MAX(B85:D85),"B","C")))</x:f>
      </x:c>
      <x:c r="H85" t="str">
        <x:f>IF(COUNT(B85:D85)&lt;3,"",IF(B85=MIN(B85:D85),"A",IF(C85=MIN(B85:D85),"B","C")))</x:f>
      </x:c>
      <x:c r="I85" t="str">
        <x:f>IF(OR(E85="",G85=""),"",IF(E85=G85,"Y","N"))</x:f>
      </x:c>
      <x:c r="J85" t="str">
        <x:f>IF(OR(F85="",H85=""),"",IF(F85=H85,"Y","N"))</x:f>
      </x:c>
      <x:c r="K85" t="str">
        <x:f>IF(OR(I85="",J85=""),"",IF(AND(I85="Y",J85="Y"),"",IF(AND(I85="N",J85="N"),"가까움·멂 모두 점수와 불일치",IF(I85="N","가까움이 최고점과 불일치","멂이 최저점과 불일치"))))</x:f>
      </x:c>
    </x:row>
    <x:row r="86">
      <x:c r="A86"/>
      <x:c r="B86"/>
      <x:c r="C86"/>
      <x:c r="D86"/>
      <x:c r="E86"/>
      <x:c r="F86"/>
      <x:c r="G86" t="str">
        <x:f>IF(COUNT(B86:D86)&lt;3,"",IF(B86=MAX(B86:D86),"A",IF(C86=MAX(B86:D86),"B","C")))</x:f>
      </x:c>
      <x:c r="H86" t="str">
        <x:f>IF(COUNT(B86:D86)&lt;3,"",IF(B86=MIN(B86:D86),"A",IF(C86=MIN(B86:D86),"B","C")))</x:f>
      </x:c>
      <x:c r="I86" t="str">
        <x:f>IF(OR(E86="",G86=""),"",IF(E86=G86,"Y","N"))</x:f>
      </x:c>
      <x:c r="J86" t="str">
        <x:f>IF(OR(F86="",H86=""),"",IF(F86=H86,"Y","N"))</x:f>
      </x:c>
      <x:c r="K86" t="str">
        <x:f>IF(OR(I86="",J86=""),"",IF(AND(I86="Y",J86="Y"),"",IF(AND(I86="N",J86="N"),"가까움·멂 모두 점수와 불일치",IF(I86="N","가까움이 최고점과 불일치","멂이 최저점과 불일치"))))</x:f>
      </x:c>
    </x:row>
    <x:row r="87">
      <x:c r="A87"/>
      <x:c r="B87"/>
      <x:c r="C87"/>
      <x:c r="D87"/>
      <x:c r="E87"/>
      <x:c r="F87"/>
      <x:c r="G87" t="str">
        <x:f>IF(COUNT(B87:D87)&lt;3,"",IF(B87=MAX(B87:D87),"A",IF(C87=MAX(B87:D87),"B","C")))</x:f>
      </x:c>
      <x:c r="H87" t="str">
        <x:f>IF(COUNT(B87:D87)&lt;3,"",IF(B87=MIN(B87:D87),"A",IF(C87=MIN(B87:D87),"B","C")))</x:f>
      </x:c>
      <x:c r="I87" t="str">
        <x:f>IF(OR(E87="",G87=""),"",IF(E87=G87,"Y","N"))</x:f>
      </x:c>
      <x:c r="J87" t="str">
        <x:f>IF(OR(F87="",H87=""),"",IF(F87=H87,"Y","N"))</x:f>
      </x:c>
      <x:c r="K87" t="str">
        <x:f>IF(OR(I87="",J87=""),"",IF(AND(I87="Y",J87="Y"),"",IF(AND(I87="N",J87="N"),"가까움·멂 모두 점수와 불일치",IF(I87="N","가까움이 최고점과 불일치","멂이 최저점과 불일치"))))</x:f>
      </x:c>
    </x:row>
    <x:row r="88">
      <x:c r="A88"/>
      <x:c r="B88"/>
      <x:c r="C88"/>
      <x:c r="D88"/>
      <x:c r="E88"/>
      <x:c r="F88"/>
      <x:c r="G88" t="str">
        <x:f>IF(COUNT(B88:D88)&lt;3,"",IF(B88=MAX(B88:D88),"A",IF(C88=MAX(B88:D88),"B","C")))</x:f>
      </x:c>
      <x:c r="H88" t="str">
        <x:f>IF(COUNT(B88:D88)&lt;3,"",IF(B88=MIN(B88:D88),"A",IF(C88=MIN(B88:D88),"B","C")))</x:f>
      </x:c>
      <x:c r="I88" t="str">
        <x:f>IF(OR(E88="",G88=""),"",IF(E88=G88,"Y","N"))</x:f>
      </x:c>
      <x:c r="J88" t="str">
        <x:f>IF(OR(F88="",H88=""),"",IF(F88=H88,"Y","N"))</x:f>
      </x:c>
      <x:c r="K88" t="str">
        <x:f>IF(OR(I88="",J88=""),"",IF(AND(I88="Y",J88="Y"),"",IF(AND(I88="N",J88="N"),"가까움·멂 모두 점수와 불일치",IF(I88="N","가까움이 최고점과 불일치","멂이 최저점과 불일치"))))</x:f>
      </x:c>
    </x:row>
    <x:row r="89">
      <x:c r="A89"/>
      <x:c r="B89"/>
      <x:c r="C89"/>
      <x:c r="D89"/>
      <x:c r="E89"/>
      <x:c r="F89"/>
      <x:c r="G89" t="str">
        <x:f>IF(COUNT(B89:D89)&lt;3,"",IF(B89=MAX(B89:D89),"A",IF(C89=MAX(B89:D89),"B","C")))</x:f>
      </x:c>
      <x:c r="H89" t="str">
        <x:f>IF(COUNT(B89:D89)&lt;3,"",IF(B89=MIN(B89:D89),"A",IF(C89=MIN(B89:D89),"B","C")))</x:f>
      </x:c>
      <x:c r="I89" t="str">
        <x:f>IF(OR(E89="",G89=""),"",IF(E89=G89,"Y","N"))</x:f>
      </x:c>
      <x:c r="J89" t="str">
        <x:f>IF(OR(F89="",H89=""),"",IF(F89=H89,"Y","N"))</x:f>
      </x:c>
      <x:c r="K89" t="str">
        <x:f>IF(OR(I89="",J89=""),"",IF(AND(I89="Y",J89="Y"),"",IF(AND(I89="N",J89="N"),"가까움·멂 모두 점수와 불일치",IF(I89="N","가까움이 최고점과 불일치","멂이 최저점과 불일치"))))</x:f>
      </x:c>
    </x:row>
    <x:row r="90">
      <x:c r="A90"/>
      <x:c r="B90"/>
      <x:c r="C90"/>
      <x:c r="D90"/>
      <x:c r="E90"/>
      <x:c r="F90"/>
      <x:c r="G90" t="str">
        <x:f>IF(COUNT(B90:D90)&lt;3,"",IF(B90=MAX(B90:D90),"A",IF(C90=MAX(B90:D90),"B","C")))</x:f>
      </x:c>
      <x:c r="H90" t="str">
        <x:f>IF(COUNT(B90:D90)&lt;3,"",IF(B90=MIN(B90:D90),"A",IF(C90=MIN(B90:D90),"B","C")))</x:f>
      </x:c>
      <x:c r="I90" t="str">
        <x:f>IF(OR(E90="",G90=""),"",IF(E90=G90,"Y","N"))</x:f>
      </x:c>
      <x:c r="J90" t="str">
        <x:f>IF(OR(F90="",H90=""),"",IF(F90=H90,"Y","N"))</x:f>
      </x:c>
      <x:c r="K90" t="str">
        <x:f>IF(OR(I90="",J90=""),"",IF(AND(I90="Y",J90="Y"),"",IF(AND(I90="N",J90="N"),"가까움·멂 모두 점수와 불일치",IF(I90="N","가까움이 최고점과 불일치","멂이 최저점과 불일치"))))</x:f>
      </x:c>
    </x:row>
    <x:row r="91">
      <x:c r="A91"/>
      <x:c r="B91"/>
      <x:c r="C91"/>
      <x:c r="D91"/>
      <x:c r="E91"/>
      <x:c r="F91"/>
      <x:c r="G91" t="str">
        <x:f>IF(COUNT(B91:D91)&lt;3,"",IF(B91=MAX(B91:D91),"A",IF(C91=MAX(B91:D91),"B","C")))</x:f>
      </x:c>
      <x:c r="H91" t="str">
        <x:f>IF(COUNT(B91:D91)&lt;3,"",IF(B91=MIN(B91:D91),"A",IF(C91=MIN(B91:D91),"B","C")))</x:f>
      </x:c>
      <x:c r="I91" t="str">
        <x:f>IF(OR(E91="",G91=""),"",IF(E91=G91,"Y","N"))</x:f>
      </x:c>
      <x:c r="J91" t="str">
        <x:f>IF(OR(F91="",H91=""),"",IF(F91=H91,"Y","N"))</x:f>
      </x:c>
      <x:c r="K91" t="str">
        <x:f>IF(OR(I91="",J91=""),"",IF(AND(I91="Y",J91="Y"),"",IF(AND(I91="N",J91="N"),"가까움·멂 모두 점수와 불일치",IF(I91="N","가까움이 최고점과 불일치","멂이 최저점과 불일치"))))</x:f>
      </x:c>
    </x:row>
    <x:row r="92">
      <x:c r="A92"/>
      <x:c r="B92"/>
      <x:c r="C92"/>
      <x:c r="D92"/>
      <x:c r="E92"/>
      <x:c r="F92"/>
      <x:c r="G92" t="str">
        <x:f>IF(COUNT(B92:D92)&lt;3,"",IF(B92=MAX(B92:D92),"A",IF(C92=MAX(B92:D92),"B","C")))</x:f>
      </x:c>
      <x:c r="H92" t="str">
        <x:f>IF(COUNT(B92:D92)&lt;3,"",IF(B92=MIN(B92:D92),"A",IF(C92=MIN(B92:D92),"B","C")))</x:f>
      </x:c>
      <x:c r="I92" t="str">
        <x:f>IF(OR(E92="",G92=""),"",IF(E92=G92,"Y","N"))</x:f>
      </x:c>
      <x:c r="J92" t="str">
        <x:f>IF(OR(F92="",H92=""),"",IF(F92=H92,"Y","N"))</x:f>
      </x:c>
      <x:c r="K92" t="str">
        <x:f>IF(OR(I92="",J92=""),"",IF(AND(I92="Y",J92="Y"),"",IF(AND(I92="N",J92="N"),"가까움·멂 모두 점수와 불일치",IF(I92="N","가까움이 최고점과 불일치","멂이 최저점과 불일치"))))</x:f>
      </x:c>
    </x:row>
    <x:row r="93">
      <x:c r="A93"/>
      <x:c r="B93"/>
      <x:c r="C93"/>
      <x:c r="D93"/>
      <x:c r="E93"/>
      <x:c r="F93"/>
      <x:c r="G93" t="str">
        <x:f>IF(COUNT(B93:D93)&lt;3,"",IF(B93=MAX(B93:D93),"A",IF(C93=MAX(B93:D93),"B","C")))</x:f>
      </x:c>
      <x:c r="H93" t="str">
        <x:f>IF(COUNT(B93:D93)&lt;3,"",IF(B93=MIN(B93:D93),"A",IF(C93=MIN(B93:D93),"B","C")))</x:f>
      </x:c>
      <x:c r="I93" t="str">
        <x:f>IF(OR(E93="",G93=""),"",IF(E93=G93,"Y","N"))</x:f>
      </x:c>
      <x:c r="J93" t="str">
        <x:f>IF(OR(F93="",H93=""),"",IF(F93=H93,"Y","N"))</x:f>
      </x:c>
      <x:c r="K93" t="str">
        <x:f>IF(OR(I93="",J93=""),"",IF(AND(I93="Y",J93="Y"),"",IF(AND(I93="N",J93="N"),"가까움·멂 모두 점수와 불일치",IF(I93="N","가까움이 최고점과 불일치","멂이 최저점과 불일치"))))</x:f>
      </x:c>
    </x:row>
    <x:row r="94">
      <x:c r="A94"/>
      <x:c r="B94"/>
      <x:c r="C94"/>
      <x:c r="D94"/>
      <x:c r="E94"/>
      <x:c r="F94"/>
      <x:c r="G94" t="str">
        <x:f>IF(COUNT(B94:D94)&lt;3,"",IF(B94=MAX(B94:D94),"A",IF(C94=MAX(B94:D94),"B","C")))</x:f>
      </x:c>
      <x:c r="H94" t="str">
        <x:f>IF(COUNT(B94:D94)&lt;3,"",IF(B94=MIN(B94:D94),"A",IF(C94=MIN(B94:D94),"B","C")))</x:f>
      </x:c>
      <x:c r="I94" t="str">
        <x:f>IF(OR(E94="",G94=""),"",IF(E94=G94,"Y","N"))</x:f>
      </x:c>
      <x:c r="J94" t="str">
        <x:f>IF(OR(F94="",H94=""),"",IF(F94=H94,"Y","N"))</x:f>
      </x:c>
      <x:c r="K94" t="str">
        <x:f>IF(OR(I94="",J94=""),"",IF(AND(I94="Y",J94="Y"),"",IF(AND(I94="N",J94="N"),"가까움·멂 모두 점수와 불일치",IF(I94="N","가까움이 최고점과 불일치","멂이 최저점과 불일치"))))</x:f>
      </x:c>
    </x:row>
    <x:row r="95">
      <x:c r="A95"/>
      <x:c r="B95"/>
      <x:c r="C95"/>
      <x:c r="D95"/>
      <x:c r="E95"/>
      <x:c r="F95"/>
      <x:c r="G95" t="str">
        <x:f>IF(COUNT(B95:D95)&lt;3,"",IF(B95=MAX(B95:D95),"A",IF(C95=MAX(B95:D95),"B","C")))</x:f>
      </x:c>
      <x:c r="H95" t="str">
        <x:f>IF(COUNT(B95:D95)&lt;3,"",IF(B95=MIN(B95:D95),"A",IF(C95=MIN(B95:D95),"B","C")))</x:f>
      </x:c>
      <x:c r="I95" t="str">
        <x:f>IF(OR(E95="",G95=""),"",IF(E95=G95,"Y","N"))</x:f>
      </x:c>
      <x:c r="J95" t="str">
        <x:f>IF(OR(F95="",H95=""),"",IF(F95=H95,"Y","N"))</x:f>
      </x:c>
      <x:c r="K95" t="str">
        <x:f>IF(OR(I95="",J95=""),"",IF(AND(I95="Y",J95="Y"),"",IF(AND(I95="N",J95="N"),"가까움·멂 모두 점수와 불일치",IF(I95="N","가까움이 최고점과 불일치","멂이 최저점과 불일치"))))</x:f>
      </x:c>
    </x:row>
    <x:row r="96">
      <x:c r="A96"/>
      <x:c r="B96"/>
      <x:c r="C96"/>
      <x:c r="D96"/>
      <x:c r="E96"/>
      <x:c r="F96"/>
      <x:c r="G96" t="str">
        <x:f>IF(COUNT(B96:D96)&lt;3,"",IF(B96=MAX(B96:D96),"A",IF(C96=MAX(B96:D96),"B","C")))</x:f>
      </x:c>
      <x:c r="H96" t="str">
        <x:f>IF(COUNT(B96:D96)&lt;3,"",IF(B96=MIN(B96:D96),"A",IF(C96=MIN(B96:D96),"B","C")))</x:f>
      </x:c>
      <x:c r="I96" t="str">
        <x:f>IF(OR(E96="",G96=""),"",IF(E96=G96,"Y","N"))</x:f>
      </x:c>
      <x:c r="J96" t="str">
        <x:f>IF(OR(F96="",H96=""),"",IF(F96=H96,"Y","N"))</x:f>
      </x:c>
      <x:c r="K96" t="str">
        <x:f>IF(OR(I96="",J96=""),"",IF(AND(I96="Y",J96="Y"),"",IF(AND(I96="N",J96="N"),"가까움·멂 모두 점수와 불일치",IF(I96="N","가까움이 최고점과 불일치","멂이 최저점과 불일치"))))</x:f>
      </x:c>
    </x:row>
    <x:row r="97">
      <x:c r="A97"/>
      <x:c r="B97"/>
      <x:c r="C97"/>
      <x:c r="D97"/>
      <x:c r="E97"/>
      <x:c r="F97"/>
      <x:c r="G97" t="str">
        <x:f>IF(COUNT(B97:D97)&lt;3,"",IF(B97=MAX(B97:D97),"A",IF(C97=MAX(B97:D97),"B","C")))</x:f>
      </x:c>
      <x:c r="H97" t="str">
        <x:f>IF(COUNT(B97:D97)&lt;3,"",IF(B97=MIN(B97:D97),"A",IF(C97=MIN(B97:D97),"B","C")))</x:f>
      </x:c>
      <x:c r="I97" t="str">
        <x:f>IF(OR(E97="",G97=""),"",IF(E97=G97,"Y","N"))</x:f>
      </x:c>
      <x:c r="J97" t="str">
        <x:f>IF(OR(F97="",H97=""),"",IF(F97=H97,"Y","N"))</x:f>
      </x:c>
      <x:c r="K97" t="str">
        <x:f>IF(OR(I97="",J97=""),"",IF(AND(I97="Y",J97="Y"),"",IF(AND(I97="N",J97="N"),"가까움·멂 모두 점수와 불일치",IF(I97="N","가까움이 최고점과 불일치","멂이 최저점과 불일치"))))</x:f>
      </x:c>
    </x:row>
    <x:row r="98">
      <x:c r="A98"/>
      <x:c r="B98"/>
      <x:c r="C98"/>
      <x:c r="D98"/>
      <x:c r="E98"/>
      <x:c r="F98"/>
      <x:c r="G98" t="str">
        <x:f>IF(COUNT(B98:D98)&lt;3,"",IF(B98=MAX(B98:D98),"A",IF(C98=MAX(B98:D98),"B","C")))</x:f>
      </x:c>
      <x:c r="H98" t="str">
        <x:f>IF(COUNT(B98:D98)&lt;3,"",IF(B98=MIN(B98:D98),"A",IF(C98=MIN(B98:D98),"B","C")))</x:f>
      </x:c>
      <x:c r="I98" t="str">
        <x:f>IF(OR(E98="",G98=""),"",IF(E98=G98,"Y","N"))</x:f>
      </x:c>
      <x:c r="J98" t="str">
        <x:f>IF(OR(F98="",H98=""),"",IF(F98=H98,"Y","N"))</x:f>
      </x:c>
      <x:c r="K98" t="str">
        <x:f>IF(OR(I98="",J98=""),"",IF(AND(I98="Y",J98="Y"),"",IF(AND(I98="N",J98="N"),"가까움·멂 모두 점수와 불일치",IF(I98="N","가까움이 최고점과 불일치","멂이 최저점과 불일치"))))</x:f>
      </x:c>
    </x:row>
    <x:row r="99">
      <x:c r="A99"/>
      <x:c r="B99"/>
      <x:c r="C99"/>
      <x:c r="D99"/>
      <x:c r="E99"/>
      <x:c r="F99"/>
      <x:c r="G99" t="str">
        <x:f>IF(COUNT(B99:D99)&lt;3,"",IF(B99=MAX(B99:D99),"A",IF(C99=MAX(B99:D99),"B","C")))</x:f>
      </x:c>
      <x:c r="H99" t="str">
        <x:f>IF(COUNT(B99:D99)&lt;3,"",IF(B99=MIN(B99:D99),"A",IF(C99=MIN(B99:D99),"B","C")))</x:f>
      </x:c>
      <x:c r="I99" t="str">
        <x:f>IF(OR(E99="",G99=""),"",IF(E99=G99,"Y","N"))</x:f>
      </x:c>
      <x:c r="J99" t="str">
        <x:f>IF(OR(F99="",H99=""),"",IF(F99=H99,"Y","N"))</x:f>
      </x:c>
      <x:c r="K99" t="str">
        <x:f>IF(OR(I99="",J99=""),"",IF(AND(I99="Y",J99="Y"),"",IF(AND(I99="N",J99="N"),"가까움·멂 모두 점수와 불일치",IF(I99="N","가까움이 최고점과 불일치","멂이 최저점과 불일치"))))</x:f>
      </x:c>
    </x:row>
    <x:row r="100">
      <x:c r="A100"/>
      <x:c r="B100"/>
      <x:c r="C100"/>
      <x:c r="D100"/>
      <x:c r="E100"/>
      <x:c r="F100"/>
      <x:c r="G100" t="str">
        <x:f>IF(COUNT(B100:D100)&lt;3,"",IF(B100=MAX(B100:D100),"A",IF(C100=MAX(B100:D100),"B","C")))</x:f>
      </x:c>
      <x:c r="H100" t="str">
        <x:f>IF(COUNT(B100:D100)&lt;3,"",IF(B100=MIN(B100:D100),"A",IF(C100=MIN(B100:D100),"B","C")))</x:f>
      </x:c>
      <x:c r="I100" t="str">
        <x:f>IF(OR(E100="",G100=""),"",IF(E100=G100,"Y","N"))</x:f>
      </x:c>
      <x:c r="J100" t="str">
        <x:f>IF(OR(F100="",H100=""),"",IF(F100=H100,"Y","N"))</x:f>
      </x:c>
      <x:c r="K100" t="str">
        <x:f>IF(OR(I100="",J100=""),"",IF(AND(I100="Y",J100="Y"),"",IF(AND(I100="N",J100="N"),"가까움·멂 모두 점수와 불일치",IF(I100="N","가까움이 최고점과 불일치","멂이 최저점과 불일치"))))</x:f>
      </x:c>
    </x:row>
    <x:row r="101">
      <x:c r="A101"/>
      <x:c r="B101"/>
      <x:c r="C101"/>
      <x:c r="D101"/>
      <x:c r="E101"/>
      <x:c r="F101"/>
      <x:c r="G101" t="str">
        <x:f>IF(COUNT(B101:D101)&lt;3,"",IF(B101=MAX(B101:D101),"A",IF(C101=MAX(B101:D101),"B","C")))</x:f>
      </x:c>
      <x:c r="H101" t="str">
        <x:f>IF(COUNT(B101:D101)&lt;3,"",IF(B101=MIN(B101:D101),"A",IF(C101=MIN(B101:D101),"B","C")))</x:f>
      </x:c>
      <x:c r="I101" t="str">
        <x:f>IF(OR(E101="",G101=""),"",IF(E101=G101,"Y","N"))</x:f>
      </x:c>
      <x:c r="J101" t="str">
        <x:f>IF(OR(F101="",H101=""),"",IF(F101=H101,"Y","N"))</x:f>
      </x:c>
      <x:c r="K101" t="str">
        <x:f>IF(OR(I101="",J101=""),"",IF(AND(I101="Y",J101="Y"),"",IF(AND(I101="N",J101="N"),"가까움·멂 모두 점수와 불일치",IF(I101="N","가까움이 최고점과 불일치","멂이 최저점과 불일치"))))</x:f>
      </x:c>
    </x:row>
    <x:row r="102">
      <x:c r="A102"/>
      <x:c r="B102"/>
      <x:c r="C102"/>
      <x:c r="D102"/>
      <x:c r="E102"/>
      <x:c r="F102"/>
      <x:c r="G102" t="str">
        <x:f>IF(COUNT(B102:D102)&lt;3,"",IF(B102=MAX(B102:D102),"A",IF(C102=MAX(B102:D102),"B","C")))</x:f>
      </x:c>
      <x:c r="H102" t="str">
        <x:f>IF(COUNT(B102:D102)&lt;3,"",IF(B102=MIN(B102:D102),"A",IF(C102=MIN(B102:D102),"B","C")))</x:f>
      </x:c>
      <x:c r="I102" t="str">
        <x:f>IF(OR(E102="",G102=""),"",IF(E102=G102,"Y","N"))</x:f>
      </x:c>
      <x:c r="J102" t="str">
        <x:f>IF(OR(F102="",H102=""),"",IF(F102=H102,"Y","N"))</x:f>
      </x:c>
      <x:c r="K102" t="str">
        <x:f>IF(OR(I102="",J102=""),"",IF(AND(I102="Y",J102="Y"),"",IF(AND(I102="N",J102="N"),"가까움·멂 모두 점수와 불일치",IF(I102="N","가까움이 최고점과 불일치","멂이 최저점과 불일치"))))</x:f>
      </x:c>
    </x:row>
    <x:row r="103">
      <x:c r="A103"/>
      <x:c r="B103"/>
      <x:c r="C103"/>
      <x:c r="D103"/>
      <x:c r="E103"/>
      <x:c r="F103"/>
      <x:c r="G103" t="str">
        <x:f>IF(COUNT(B103:D103)&lt;3,"",IF(B103=MAX(B103:D103),"A",IF(C103=MAX(B103:D103),"B","C")))</x:f>
      </x:c>
      <x:c r="H103" t="str">
        <x:f>IF(COUNT(B103:D103)&lt;3,"",IF(B103=MIN(B103:D103),"A",IF(C103=MIN(B103:D103),"B","C")))</x:f>
      </x:c>
      <x:c r="I103" t="str">
        <x:f>IF(OR(E103="",G103=""),"",IF(E103=G103,"Y","N"))</x:f>
      </x:c>
      <x:c r="J103" t="str">
        <x:f>IF(OR(F103="",H103=""),"",IF(F103=H103,"Y","N"))</x:f>
      </x:c>
      <x:c r="K103" t="str">
        <x:f>IF(OR(I103="",J103=""),"",IF(AND(I103="Y",J103="Y"),"",IF(AND(I103="N",J103="N"),"가까움·멂 모두 점수와 불일치",IF(I103="N","가까움이 최고점과 불일치","멂이 최저점과 불일치"))))</x:f>
      </x:c>
    </x:row>
    <x:row r="104">
      <x:c r="A104"/>
      <x:c r="B104"/>
      <x:c r="C104"/>
      <x:c r="D104"/>
      <x:c r="E104"/>
      <x:c r="F104"/>
      <x:c r="G104" t="str">
        <x:f>IF(COUNT(B104:D104)&lt;3,"",IF(B104=MAX(B104:D104),"A",IF(C104=MAX(B104:D104),"B","C")))</x:f>
      </x:c>
      <x:c r="H104" t="str">
        <x:f>IF(COUNT(B104:D104)&lt;3,"",IF(B104=MIN(B104:D104),"A",IF(C104=MIN(B104:D104),"B","C")))</x:f>
      </x:c>
      <x:c r="I104" t="str">
        <x:f>IF(OR(E104="",G104=""),"",IF(E104=G104,"Y","N"))</x:f>
      </x:c>
      <x:c r="J104" t="str">
        <x:f>IF(OR(F104="",H104=""),"",IF(F104=H104,"Y","N"))</x:f>
      </x:c>
      <x:c r="K104" t="str">
        <x:f>IF(OR(I104="",J104=""),"",IF(AND(I104="Y",J104="Y"),"",IF(AND(I104="N",J104="N"),"가까움·멂 모두 점수와 불일치",IF(I104="N","가까움이 최고점과 불일치","멂이 최저점과 불일치"))))</x:f>
      </x:c>
    </x:row>
    <x:row r="105">
      <x:c r="A105"/>
      <x:c r="B105"/>
      <x:c r="C105"/>
      <x:c r="D105"/>
      <x:c r="E105"/>
      <x:c r="F105"/>
      <x:c r="G105" t="str">
        <x:f>IF(COUNT(B105:D105)&lt;3,"",IF(B105=MAX(B105:D105),"A",IF(C105=MAX(B105:D105),"B","C")))</x:f>
      </x:c>
      <x:c r="H105" t="str">
        <x:f>IF(COUNT(B105:D105)&lt;3,"",IF(B105=MIN(B105:D105),"A",IF(C105=MIN(B105:D105),"B","C")))</x:f>
      </x:c>
      <x:c r="I105" t="str">
        <x:f>IF(OR(E105="",G105=""),"",IF(E105=G105,"Y","N"))</x:f>
      </x:c>
      <x:c r="J105" t="str">
        <x:f>IF(OR(F105="",H105=""),"",IF(F105=H105,"Y","N"))</x:f>
      </x:c>
      <x:c r="K105" t="str">
        <x:f>IF(OR(I105="",J105=""),"",IF(AND(I105="Y",J105="Y"),"",IF(AND(I105="N",J105="N"),"가까움·멂 모두 점수와 불일치",IF(I105="N","가까움이 최고점과 불일치","멂이 최저점과 불일치"))))</x:f>
      </x:c>
    </x:row>
    <x:row r="106">
      <x:c r="A106"/>
      <x:c r="B106"/>
      <x:c r="C106"/>
      <x:c r="D106"/>
      <x:c r="E106"/>
      <x:c r="F106"/>
      <x:c r="G106" t="str">
        <x:f>IF(COUNT(B106:D106)&lt;3,"",IF(B106=MAX(B106:D106),"A",IF(C106=MAX(B106:D106),"B","C")))</x:f>
      </x:c>
      <x:c r="H106" t="str">
        <x:f>IF(COUNT(B106:D106)&lt;3,"",IF(B106=MIN(B106:D106),"A",IF(C106=MIN(B106:D106),"B","C")))</x:f>
      </x:c>
      <x:c r="I106" t="str">
        <x:f>IF(OR(E106="",G106=""),"",IF(E106=G106,"Y","N"))</x:f>
      </x:c>
      <x:c r="J106" t="str">
        <x:f>IF(OR(F106="",H106=""),"",IF(F106=H106,"Y","N"))</x:f>
      </x:c>
      <x:c r="K106" t="str">
        <x:f>IF(OR(I106="",J106=""),"",IF(AND(I106="Y",J106="Y"),"",IF(AND(I106="N",J106="N"),"가까움·멂 모두 점수와 불일치",IF(I106="N","가까움이 최고점과 불일치","멂이 최저점과 불일치"))))</x:f>
      </x:c>
    </x:row>
    <x:row r="107">
      <x:c r="A107"/>
      <x:c r="B107"/>
      <x:c r="C107"/>
      <x:c r="D107"/>
      <x:c r="E107"/>
      <x:c r="F107"/>
      <x:c r="G107" t="str">
        <x:f>IF(COUNT(B107:D107)&lt;3,"",IF(B107=MAX(B107:D107),"A",IF(C107=MAX(B107:D107),"B","C")))</x:f>
      </x:c>
      <x:c r="H107" t="str">
        <x:f>IF(COUNT(B107:D107)&lt;3,"",IF(B107=MIN(B107:D107),"A",IF(C107=MIN(B107:D107),"B","C")))</x:f>
      </x:c>
      <x:c r="I107" t="str">
        <x:f>IF(OR(E107="",G107=""),"",IF(E107=G107,"Y","N"))</x:f>
      </x:c>
      <x:c r="J107" t="str">
        <x:f>IF(OR(F107="",H107=""),"",IF(F107=H107,"Y","N"))</x:f>
      </x:c>
      <x:c r="K107" t="str">
        <x:f>IF(OR(I107="",J107=""),"",IF(AND(I107="Y",J107="Y"),"",IF(AND(I107="N",J107="N"),"가까움·멂 모두 점수와 불일치",IF(I107="N","가까움이 최고점과 불일치","멂이 최저점과 불일치"))))</x:f>
      </x:c>
    </x:row>
    <x:row r="108">
      <x:c r="A108"/>
      <x:c r="B108"/>
      <x:c r="C108"/>
      <x:c r="D108"/>
      <x:c r="E108"/>
      <x:c r="F108"/>
      <x:c r="G108" t="str">
        <x:f>IF(COUNT(B108:D108)&lt;3,"",IF(B108=MAX(B108:D108),"A",IF(C108=MAX(B108:D108),"B","C")))</x:f>
      </x:c>
      <x:c r="H108" t="str">
        <x:f>IF(COUNT(B108:D108)&lt;3,"",IF(B108=MIN(B108:D108),"A",IF(C108=MIN(B108:D108),"B","C")))</x:f>
      </x:c>
      <x:c r="I108" t="str">
        <x:f>IF(OR(E108="",G108=""),"",IF(E108=G108,"Y","N"))</x:f>
      </x:c>
      <x:c r="J108" t="str">
        <x:f>IF(OR(F108="",H108=""),"",IF(F108=H108,"Y","N"))</x:f>
      </x:c>
      <x:c r="K108" t="str">
        <x:f>IF(OR(I108="",J108=""),"",IF(AND(I108="Y",J108="Y"),"",IF(AND(I108="N",J108="N"),"가까움·멂 모두 점수와 불일치",IF(I108="N","가까움이 최고점과 불일치","멂이 최저점과 불일치"))))</x:f>
      </x:c>
    </x:row>
    <x:row r="109">
      <x:c r="A109"/>
      <x:c r="B109"/>
      <x:c r="C109"/>
      <x:c r="D109"/>
      <x:c r="E109"/>
      <x:c r="F109"/>
      <x:c r="G109" t="str">
        <x:f>IF(COUNT(B109:D109)&lt;3,"",IF(B109=MAX(B109:D109),"A",IF(C109=MAX(B109:D109),"B","C")))</x:f>
      </x:c>
      <x:c r="H109" t="str">
        <x:f>IF(COUNT(B109:D109)&lt;3,"",IF(B109=MIN(B109:D109),"A",IF(C109=MIN(B109:D109),"B","C")))</x:f>
      </x:c>
      <x:c r="I109" t="str">
        <x:f>IF(OR(E109="",G109=""),"",IF(E109=G109,"Y","N"))</x:f>
      </x:c>
      <x:c r="J109" t="str">
        <x:f>IF(OR(F109="",H109=""),"",IF(F109=H109,"Y","N"))</x:f>
      </x:c>
      <x:c r="K109" t="str">
        <x:f>IF(OR(I109="",J109=""),"",IF(AND(I109="Y",J109="Y"),"",IF(AND(I109="N",J109="N"),"가까움·멂 모두 점수와 불일치",IF(I109="N","가까움이 최고점과 불일치","멂이 최저점과 불일치"))))</x:f>
      </x:c>
    </x:row>
    <x:row r="110">
      <x:c r="A110"/>
      <x:c r="B110"/>
      <x:c r="C110"/>
      <x:c r="D110"/>
      <x:c r="E110"/>
      <x:c r="F110"/>
      <x:c r="G110" t="str">
        <x:f>IF(COUNT(B110:D110)&lt;3,"",IF(B110=MAX(B110:D110),"A",IF(C110=MAX(B110:D110),"B","C")))</x:f>
      </x:c>
      <x:c r="H110" t="str">
        <x:f>IF(COUNT(B110:D110)&lt;3,"",IF(B110=MIN(B110:D110),"A",IF(C110=MIN(B110:D110),"B","C")))</x:f>
      </x:c>
      <x:c r="I110" t="str">
        <x:f>IF(OR(E110="",G110=""),"",IF(E110=G110,"Y","N"))</x:f>
      </x:c>
      <x:c r="J110" t="str">
        <x:f>IF(OR(F110="",H110=""),"",IF(F110=H110,"Y","N"))</x:f>
      </x:c>
      <x:c r="K110" t="str">
        <x:f>IF(OR(I110="",J110=""),"",IF(AND(I110="Y",J110="Y"),"",IF(AND(I110="N",J110="N"),"가까움·멂 모두 점수와 불일치",IF(I110="N","가까움이 최고점과 불일치","멂이 최저점과 불일치"))))</x:f>
      </x:c>
    </x:row>
    <x:row r="111">
      <x:c r="A111"/>
      <x:c r="B111"/>
      <x:c r="C111"/>
      <x:c r="D111"/>
      <x:c r="E111"/>
      <x:c r="F111"/>
      <x:c r="G111" t="str">
        <x:f>IF(COUNT(B111:D111)&lt;3,"",IF(B111=MAX(B111:D111),"A",IF(C111=MAX(B111:D111),"B","C")))</x:f>
      </x:c>
      <x:c r="H111" t="str">
        <x:f>IF(COUNT(B111:D111)&lt;3,"",IF(B111=MIN(B111:D111),"A",IF(C111=MIN(B111:D111),"B","C")))</x:f>
      </x:c>
      <x:c r="I111" t="str">
        <x:f>IF(OR(E111="",G111=""),"",IF(E111=G111,"Y","N"))</x:f>
      </x:c>
      <x:c r="J111" t="str">
        <x:f>IF(OR(F111="",H111=""),"",IF(F111=H111,"Y","N"))</x:f>
      </x:c>
      <x:c r="K111" t="str">
        <x:f>IF(OR(I111="",J111=""),"",IF(AND(I111="Y",J111="Y"),"",IF(AND(I111="N",J111="N"),"가까움·멂 모두 점수와 불일치",IF(I111="N","가까움이 최고점과 불일치","멂이 최저점과 불일치"))))</x:f>
      </x:c>
    </x:row>
    <x:row r="112">
      <x:c r="A112"/>
      <x:c r="B112"/>
      <x:c r="C112"/>
      <x:c r="D112"/>
      <x:c r="E112"/>
      <x:c r="F112"/>
      <x:c r="G112" t="str">
        <x:f>IF(COUNT(B112:D112)&lt;3,"",IF(B112=MAX(B112:D112),"A",IF(C112=MAX(B112:D112),"B","C")))</x:f>
      </x:c>
      <x:c r="H112" t="str">
        <x:f>IF(COUNT(B112:D112)&lt;3,"",IF(B112=MIN(B112:D112),"A",IF(C112=MIN(B112:D112),"B","C")))</x:f>
      </x:c>
      <x:c r="I112" t="str">
        <x:f>IF(OR(E112="",G112=""),"",IF(E112=G112,"Y","N"))</x:f>
      </x:c>
      <x:c r="J112" t="str">
        <x:f>IF(OR(F112="",H112=""),"",IF(F112=H112,"Y","N"))</x:f>
      </x:c>
      <x:c r="K112" t="str">
        <x:f>IF(OR(I112="",J112=""),"",IF(AND(I112="Y",J112="Y"),"",IF(AND(I112="N",J112="N"),"가까움·멂 모두 점수와 불일치",IF(I112="N","가까움이 최고점과 불일치","멂이 최저점과 불일치"))))</x:f>
      </x:c>
    </x:row>
    <x:row r="113">
      <x:c r="A113"/>
      <x:c r="B113"/>
      <x:c r="C113"/>
      <x:c r="D113"/>
      <x:c r="E113"/>
      <x:c r="F113"/>
      <x:c r="G113" t="str">
        <x:f>IF(COUNT(B113:D113)&lt;3,"",IF(B113=MAX(B113:D113),"A",IF(C113=MAX(B113:D113),"B","C")))</x:f>
      </x:c>
      <x:c r="H113" t="str">
        <x:f>IF(COUNT(B113:D113)&lt;3,"",IF(B113=MIN(B113:D113),"A",IF(C113=MIN(B113:D113),"B","C")))</x:f>
      </x:c>
      <x:c r="I113" t="str">
        <x:f>IF(OR(E113="",G113=""),"",IF(E113=G113,"Y","N"))</x:f>
      </x:c>
      <x:c r="J113" t="str">
        <x:f>IF(OR(F113="",H113=""),"",IF(F113=H113,"Y","N"))</x:f>
      </x:c>
      <x:c r="K113" t="str">
        <x:f>IF(OR(I113="",J113=""),"",IF(AND(I113="Y",J113="Y"),"",IF(AND(I113="N",J113="N"),"가까움·멂 모두 점수와 불일치",IF(I113="N","가까움이 최고점과 불일치","멂이 최저점과 불일치"))))</x:f>
      </x:c>
    </x:row>
    <x:row r="114">
      <x:c r="A114"/>
      <x:c r="B114"/>
      <x:c r="C114"/>
      <x:c r="D114"/>
      <x:c r="E114"/>
      <x:c r="F114"/>
      <x:c r="G114" t="str">
        <x:f>IF(COUNT(B114:D114)&lt;3,"",IF(B114=MAX(B114:D114),"A",IF(C114=MAX(B114:D114),"B","C")))</x:f>
      </x:c>
      <x:c r="H114" t="str">
        <x:f>IF(COUNT(B114:D114)&lt;3,"",IF(B114=MIN(B114:D114),"A",IF(C114=MIN(B114:D114),"B","C")))</x:f>
      </x:c>
      <x:c r="I114" t="str">
        <x:f>IF(OR(E114="",G114=""),"",IF(E114=G114,"Y","N"))</x:f>
      </x:c>
      <x:c r="J114" t="str">
        <x:f>IF(OR(F114="",H114=""),"",IF(F114=H114,"Y","N"))</x:f>
      </x:c>
      <x:c r="K114" t="str">
        <x:f>IF(OR(I114="",J114=""),"",IF(AND(I114="Y",J114="Y"),"",IF(AND(I114="N",J114="N"),"가까움·멂 모두 점수와 불일치",IF(I114="N","가까움이 최고점과 불일치","멂이 최저점과 불일치"))))</x:f>
      </x:c>
    </x:row>
    <x:row r="115">
      <x:c r="A115"/>
      <x:c r="B115"/>
      <x:c r="C115"/>
      <x:c r="D115"/>
      <x:c r="E115"/>
      <x:c r="F115"/>
      <x:c r="G115" t="str">
        <x:f>IF(COUNT(B115:D115)&lt;3,"",IF(B115=MAX(B115:D115),"A",IF(C115=MAX(B115:D115),"B","C")))</x:f>
      </x:c>
      <x:c r="H115" t="str">
        <x:f>IF(COUNT(B115:D115)&lt;3,"",IF(B115=MIN(B115:D115),"A",IF(C115=MIN(B115:D115),"B","C")))</x:f>
      </x:c>
      <x:c r="I115" t="str">
        <x:f>IF(OR(E115="",G115=""),"",IF(E115=G115,"Y","N"))</x:f>
      </x:c>
      <x:c r="J115" t="str">
        <x:f>IF(OR(F115="",H115=""),"",IF(F115=H115,"Y","N"))</x:f>
      </x:c>
      <x:c r="K115" t="str">
        <x:f>IF(OR(I115="",J115=""),"",IF(AND(I115="Y",J115="Y"),"",IF(AND(I115="N",J115="N"),"가까움·멂 모두 점수와 불일치",IF(I115="N","가까움이 최고점과 불일치","멂이 최저점과 불일치"))))</x:f>
      </x:c>
    </x:row>
    <x:row r="116">
      <x:c r="A116"/>
      <x:c r="B116"/>
      <x:c r="C116"/>
      <x:c r="D116"/>
      <x:c r="E116"/>
      <x:c r="F116"/>
      <x:c r="G116" t="str">
        <x:f>IF(COUNT(B116:D116)&lt;3,"",IF(B116=MAX(B116:D116),"A",IF(C116=MAX(B116:D116),"B","C")))</x:f>
      </x:c>
      <x:c r="H116" t="str">
        <x:f>IF(COUNT(B116:D116)&lt;3,"",IF(B116=MIN(B116:D116),"A",IF(C116=MIN(B116:D116),"B","C")))</x:f>
      </x:c>
      <x:c r="I116" t="str">
        <x:f>IF(OR(E116="",G116=""),"",IF(E116=G116,"Y","N"))</x:f>
      </x:c>
      <x:c r="J116" t="str">
        <x:f>IF(OR(F116="",H116=""),"",IF(F116=H116,"Y","N"))</x:f>
      </x:c>
      <x:c r="K116" t="str">
        <x:f>IF(OR(I116="",J116=""),"",IF(AND(I116="Y",J116="Y"),"",IF(AND(I116="N",J116="N"),"가까움·멂 모두 점수와 불일치",IF(I116="N","가까움이 최고점과 불일치","멂이 최저점과 불일치"))))</x:f>
      </x:c>
    </x:row>
    <x:row r="117">
      <x:c r="A117"/>
      <x:c r="B117"/>
      <x:c r="C117"/>
      <x:c r="D117"/>
      <x:c r="E117"/>
      <x:c r="F117"/>
      <x:c r="G117" t="str">
        <x:f>IF(COUNT(B117:D117)&lt;3,"",IF(B117=MAX(B117:D117),"A",IF(C117=MAX(B117:D117),"B","C")))</x:f>
      </x:c>
      <x:c r="H117" t="str">
        <x:f>IF(COUNT(B117:D117)&lt;3,"",IF(B117=MIN(B117:D117),"A",IF(C117=MIN(B117:D117),"B","C")))</x:f>
      </x:c>
      <x:c r="I117" t="str">
        <x:f>IF(OR(E117="",G117=""),"",IF(E117=G117,"Y","N"))</x:f>
      </x:c>
      <x:c r="J117" t="str">
        <x:f>IF(OR(F117="",H117=""),"",IF(F117=H117,"Y","N"))</x:f>
      </x:c>
      <x:c r="K117" t="str">
        <x:f>IF(OR(I117="",J117=""),"",IF(AND(I117="Y",J117="Y"),"",IF(AND(I117="N",J117="N"),"가까움·멂 모두 점수와 불일치",IF(I117="N","가까움이 최고점과 불일치","멂이 최저점과 불일치"))))</x:f>
      </x:c>
    </x:row>
    <x:row r="118">
      <x:c r="A118"/>
      <x:c r="B118"/>
      <x:c r="C118"/>
      <x:c r="D118"/>
      <x:c r="E118"/>
      <x:c r="F118"/>
      <x:c r="G118" t="str">
        <x:f>IF(COUNT(B118:D118)&lt;3,"",IF(B118=MAX(B118:D118),"A",IF(C118=MAX(B118:D118),"B","C")))</x:f>
      </x:c>
      <x:c r="H118" t="str">
        <x:f>IF(COUNT(B118:D118)&lt;3,"",IF(B118=MIN(B118:D118),"A",IF(C118=MIN(B118:D118),"B","C")))</x:f>
      </x:c>
      <x:c r="I118" t="str">
        <x:f>IF(OR(E118="",G118=""),"",IF(E118=G118,"Y","N"))</x:f>
      </x:c>
      <x:c r="J118" t="str">
        <x:f>IF(OR(F118="",H118=""),"",IF(F118=H118,"Y","N"))</x:f>
      </x:c>
      <x:c r="K118" t="str">
        <x:f>IF(OR(I118="",J118=""),"",IF(AND(I118="Y",J118="Y"),"",IF(AND(I118="N",J118="N"),"가까움·멂 모두 점수와 불일치",IF(I118="N","가까움이 최고점과 불일치","멂이 최저점과 불일치"))))</x:f>
      </x:c>
    </x:row>
    <x:row r="119">
      <x:c r="A119"/>
      <x:c r="B119"/>
      <x:c r="C119"/>
      <x:c r="D119"/>
      <x:c r="E119"/>
      <x:c r="F119"/>
      <x:c r="G119" t="str">
        <x:f>IF(COUNT(B119:D119)&lt;3,"",IF(B119=MAX(B119:D119),"A",IF(C119=MAX(B119:D119),"B","C")))</x:f>
      </x:c>
      <x:c r="H119" t="str">
        <x:f>IF(COUNT(B119:D119)&lt;3,"",IF(B119=MIN(B119:D119),"A",IF(C119=MIN(B119:D119),"B","C")))</x:f>
      </x:c>
      <x:c r="I119" t="str">
        <x:f>IF(OR(E119="",G119=""),"",IF(E119=G119,"Y","N"))</x:f>
      </x:c>
      <x:c r="J119" t="str">
        <x:f>IF(OR(F119="",H119=""),"",IF(F119=H119,"Y","N"))</x:f>
      </x:c>
      <x:c r="K119" t="str">
        <x:f>IF(OR(I119="",J119=""),"",IF(AND(I119="Y",J119="Y"),"",IF(AND(I119="N",J119="N"),"가까움·멂 모두 점수와 불일치",IF(I119="N","가까움이 최고점과 불일치","멂이 최저점과 불일치"))))</x:f>
      </x:c>
    </x:row>
    <x:row r="120">
      <x:c r="A120"/>
      <x:c r="B120"/>
      <x:c r="C120"/>
      <x:c r="D120"/>
      <x:c r="E120"/>
      <x:c r="F120"/>
      <x:c r="G120" t="str">
        <x:f>IF(COUNT(B120:D120)&lt;3,"",IF(B120=MAX(B120:D120),"A",IF(C120=MAX(B120:D120),"B","C")))</x:f>
      </x:c>
      <x:c r="H120" t="str">
        <x:f>IF(COUNT(B120:D120)&lt;3,"",IF(B120=MIN(B120:D120),"A",IF(C120=MIN(B120:D120),"B","C")))</x:f>
      </x:c>
      <x:c r="I120" t="str">
        <x:f>IF(OR(E120="",G120=""),"",IF(E120=G120,"Y","N"))</x:f>
      </x:c>
      <x:c r="J120" t="str">
        <x:f>IF(OR(F120="",H120=""),"",IF(F120=H120,"Y","N"))</x:f>
      </x:c>
      <x:c r="K120" t="str">
        <x:f>IF(OR(I120="",J120=""),"",IF(AND(I120="Y",J120="Y"),"",IF(AND(I120="N",J120="N"),"가까움·멂 모두 점수와 불일치",IF(I120="N","가까움이 최고점과 불일치","멂이 최저점과 불일치"))))</x:f>
      </x:c>
    </x:row>
    <x:row r="121">
      <x:c r="A121"/>
      <x:c r="B121"/>
      <x:c r="C121"/>
      <x:c r="D121"/>
      <x:c r="E121"/>
      <x:c r="F121"/>
      <x:c r="G121" t="str">
        <x:f>IF(COUNT(B121:D121)&lt;3,"",IF(B121=MAX(B121:D121),"A",IF(C121=MAX(B121:D121),"B","C")))</x:f>
      </x:c>
      <x:c r="H121" t="str">
        <x:f>IF(COUNT(B121:D121)&lt;3,"",IF(B121=MIN(B121:D121),"A",IF(C121=MIN(B121:D121),"B","C")))</x:f>
      </x:c>
      <x:c r="I121" t="str">
        <x:f>IF(OR(E121="",G121=""),"",IF(E121=G121,"Y","N"))</x:f>
      </x:c>
      <x:c r="J121" t="str">
        <x:f>IF(OR(F121="",H121=""),"",IF(F121=H121,"Y","N"))</x:f>
      </x:c>
      <x:c r="K121" t="str">
        <x:f>IF(OR(I121="",J121=""),"",IF(AND(I121="Y",J121="Y"),"",IF(AND(I121="N",J121="N"),"가까움·멂 모두 점수와 불일치",IF(I121="N","가까움이 최고점과 불일치","멂이 최저점과 불일치"))))</x:f>
      </x:c>
    </x:row>
    <x:row r="122">
      <x:c r="A122"/>
      <x:c r="B122"/>
      <x:c r="C122"/>
      <x:c r="D122"/>
      <x:c r="E122"/>
      <x:c r="F122"/>
      <x:c r="G122" t="str">
        <x:f>IF(COUNT(B122:D122)&lt;3,"",IF(B122=MAX(B122:D122),"A",IF(C122=MAX(B122:D122),"B","C")))</x:f>
      </x:c>
      <x:c r="H122" t="str">
        <x:f>IF(COUNT(B122:D122)&lt;3,"",IF(B122=MIN(B122:D122),"A",IF(C122=MIN(B122:D122),"B","C")))</x:f>
      </x:c>
      <x:c r="I122" t="str">
        <x:f>IF(OR(E122="",G122=""),"",IF(E122=G122,"Y","N"))</x:f>
      </x:c>
      <x:c r="J122" t="str">
        <x:f>IF(OR(F122="",H122=""),"",IF(F122=H122,"Y","N"))</x:f>
      </x:c>
      <x:c r="K122" t="str">
        <x:f>IF(OR(I122="",J122=""),"",IF(AND(I122="Y",J122="Y"),"",IF(AND(I122="N",J122="N"),"가까움·멂 모두 점수와 불일치",IF(I122="N","가까움이 최고점과 불일치","멂이 최저점과 불일치"))))</x:f>
      </x:c>
    </x:row>
    <x:row r="123">
      <x:c r="A123"/>
      <x:c r="B123"/>
      <x:c r="C123"/>
      <x:c r="D123"/>
      <x:c r="E123"/>
      <x:c r="F123"/>
      <x:c r="G123" t="str">
        <x:f>IF(COUNT(B123:D123)&lt;3,"",IF(B123=MAX(B123:D123),"A",IF(C123=MAX(B123:D123),"B","C")))</x:f>
      </x:c>
      <x:c r="H123" t="str">
        <x:f>IF(COUNT(B123:D123)&lt;3,"",IF(B123=MIN(B123:D123),"A",IF(C123=MIN(B123:D123),"B","C")))</x:f>
      </x:c>
      <x:c r="I123" t="str">
        <x:f>IF(OR(E123="",G123=""),"",IF(E123=G123,"Y","N"))</x:f>
      </x:c>
      <x:c r="J123" t="str">
        <x:f>IF(OR(F123="",H123=""),"",IF(F123=H123,"Y","N"))</x:f>
      </x:c>
      <x:c r="K123" t="str">
        <x:f>IF(OR(I123="",J123=""),"",IF(AND(I123="Y",J123="Y"),"",IF(AND(I123="N",J123="N"),"가까움·멂 모두 점수와 불일치",IF(I123="N","가까움이 최고점과 불일치","멂이 최저점과 불일치"))))</x:f>
      </x:c>
    </x:row>
    <x:row r="124">
      <x:c r="A124"/>
      <x:c r="B124"/>
      <x:c r="C124"/>
      <x:c r="D124"/>
      <x:c r="E124"/>
      <x:c r="F124"/>
      <x:c r="G124" t="str">
        <x:f>IF(COUNT(B124:D124)&lt;3,"",IF(B124=MAX(B124:D124),"A",IF(C124=MAX(B124:D124),"B","C")))</x:f>
      </x:c>
      <x:c r="H124" t="str">
        <x:f>IF(COUNT(B124:D124)&lt;3,"",IF(B124=MIN(B124:D124),"A",IF(C124=MIN(B124:D124),"B","C")))</x:f>
      </x:c>
      <x:c r="I124" t="str">
        <x:f>IF(OR(E124="",G124=""),"",IF(E124=G124,"Y","N"))</x:f>
      </x:c>
      <x:c r="J124" t="str">
        <x:f>IF(OR(F124="",H124=""),"",IF(F124=H124,"Y","N"))</x:f>
      </x:c>
      <x:c r="K124" t="str">
        <x:f>IF(OR(I124="",J124=""),"",IF(AND(I124="Y",J124="Y"),"",IF(AND(I124="N",J124="N"),"가까움·멂 모두 점수와 불일치",IF(I124="N","가까움이 최고점과 불일치","멂이 최저점과 불일치"))))</x:f>
      </x:c>
    </x:row>
    <x:row r="125">
      <x:c r="A125"/>
      <x:c r="B125"/>
      <x:c r="C125"/>
      <x:c r="D125"/>
      <x:c r="E125"/>
      <x:c r="F125"/>
      <x:c r="G125" t="str">
        <x:f>IF(COUNT(B125:D125)&lt;3,"",IF(B125=MAX(B125:D125),"A",IF(C125=MAX(B125:D125),"B","C")))</x:f>
      </x:c>
      <x:c r="H125" t="str">
        <x:f>IF(COUNT(B125:D125)&lt;3,"",IF(B125=MIN(B125:D125),"A",IF(C125=MIN(B125:D125),"B","C")))</x:f>
      </x:c>
      <x:c r="I125" t="str">
        <x:f>IF(OR(E125="",G125=""),"",IF(E125=G125,"Y","N"))</x:f>
      </x:c>
      <x:c r="J125" t="str">
        <x:f>IF(OR(F125="",H125=""),"",IF(F125=H125,"Y","N"))</x:f>
      </x:c>
      <x:c r="K125" t="str">
        <x:f>IF(OR(I125="",J125=""),"",IF(AND(I125="Y",J125="Y"),"",IF(AND(I125="N",J125="N"),"가까움·멂 모두 점수와 불일치",IF(I125="N","가까움이 최고점과 불일치","멂이 최저점과 불일치"))))</x:f>
      </x:c>
    </x:row>
    <x:row r="126">
      <x:c r="A126"/>
      <x:c r="B126"/>
      <x:c r="C126"/>
      <x:c r="D126"/>
      <x:c r="E126"/>
      <x:c r="F126"/>
      <x:c r="G126" t="str">
        <x:f>IF(COUNT(B126:D126)&lt;3,"",IF(B126=MAX(B126:D126),"A",IF(C126=MAX(B126:D126),"B","C")))</x:f>
      </x:c>
      <x:c r="H126" t="str">
        <x:f>IF(COUNT(B126:D126)&lt;3,"",IF(B126=MIN(B126:D126),"A",IF(C126=MIN(B126:D126),"B","C")))</x:f>
      </x:c>
      <x:c r="I126" t="str">
        <x:f>IF(OR(E126="",G126=""),"",IF(E126=G126,"Y","N"))</x:f>
      </x:c>
      <x:c r="J126" t="str">
        <x:f>IF(OR(F126="",H126=""),"",IF(F126=H126,"Y","N"))</x:f>
      </x:c>
      <x:c r="K126" t="str">
        <x:f>IF(OR(I126="",J126=""),"",IF(AND(I126="Y",J126="Y"),"",IF(AND(I126="N",J126="N"),"가까움·멂 모두 점수와 불일치",IF(I126="N","가까움이 최고점과 불일치","멂이 최저점과 불일치"))))</x:f>
      </x:c>
    </x:row>
    <x:row r="127">
      <x:c r="A127"/>
      <x:c r="B127"/>
      <x:c r="C127"/>
      <x:c r="D127"/>
      <x:c r="E127"/>
      <x:c r="F127"/>
      <x:c r="G127" t="str">
        <x:f>IF(COUNT(B127:D127)&lt;3,"",IF(B127=MAX(B127:D127),"A",IF(C127=MAX(B127:D127),"B","C")))</x:f>
      </x:c>
      <x:c r="H127" t="str">
        <x:f>IF(COUNT(B127:D127)&lt;3,"",IF(B127=MIN(B127:D127),"A",IF(C127=MIN(B127:D127),"B","C")))</x:f>
      </x:c>
      <x:c r="I127" t="str">
        <x:f>IF(OR(E127="",G127=""),"",IF(E127=G127,"Y","N"))</x:f>
      </x:c>
      <x:c r="J127" t="str">
        <x:f>IF(OR(F127="",H127=""),"",IF(F127=H127,"Y","N"))</x:f>
      </x:c>
      <x:c r="K127" t="str">
        <x:f>IF(OR(I127="",J127=""),"",IF(AND(I127="Y",J127="Y"),"",IF(AND(I127="N",J127="N"),"가까움·멂 모두 점수와 불일치",IF(I127="N","가까움이 최고점과 불일치","멂이 최저점과 불일치"))))</x:f>
      </x:c>
    </x:row>
    <x:row r="128">
      <x:c r="A128"/>
      <x:c r="B128"/>
      <x:c r="C128"/>
      <x:c r="D128"/>
      <x:c r="E128"/>
      <x:c r="F128"/>
      <x:c r="G128" t="str">
        <x:f>IF(COUNT(B128:D128)&lt;3,"",IF(B128=MAX(B128:D128),"A",IF(C128=MAX(B128:D128),"B","C")))</x:f>
      </x:c>
      <x:c r="H128" t="str">
        <x:f>IF(COUNT(B128:D128)&lt;3,"",IF(B128=MIN(B128:D128),"A",IF(C128=MIN(B128:D128),"B","C")))</x:f>
      </x:c>
      <x:c r="I128" t="str">
        <x:f>IF(OR(E128="",G128=""),"",IF(E128=G128,"Y","N"))</x:f>
      </x:c>
      <x:c r="J128" t="str">
        <x:f>IF(OR(F128="",H128=""),"",IF(F128=H128,"Y","N"))</x:f>
      </x:c>
      <x:c r="K128" t="str">
        <x:f>IF(OR(I128="",J128=""),"",IF(AND(I128="Y",J128="Y"),"",IF(AND(I128="N",J128="N"),"가까움·멂 모두 점수와 불일치",IF(I128="N","가까움이 최고점과 불일치","멂이 최저점과 불일치"))))</x:f>
      </x:c>
    </x:row>
    <x:row r="129">
      <x:c r="A129"/>
      <x:c r="B129"/>
      <x:c r="C129"/>
      <x:c r="D129"/>
      <x:c r="E129"/>
      <x:c r="F129"/>
      <x:c r="G129" t="str">
        <x:f>IF(COUNT(B129:D129)&lt;3,"",IF(B129=MAX(B129:D129),"A",IF(C129=MAX(B129:D129),"B","C")))</x:f>
      </x:c>
      <x:c r="H129" t="str">
        <x:f>IF(COUNT(B129:D129)&lt;3,"",IF(B129=MIN(B129:D129),"A",IF(C129=MIN(B129:D129),"B","C")))</x:f>
      </x:c>
      <x:c r="I129" t="str">
        <x:f>IF(OR(E129="",G129=""),"",IF(E129=G129,"Y","N"))</x:f>
      </x:c>
      <x:c r="J129" t="str">
        <x:f>IF(OR(F129="",H129=""),"",IF(F129=H129,"Y","N"))</x:f>
      </x:c>
      <x:c r="K129" t="str">
        <x:f>IF(OR(I129="",J129=""),"",IF(AND(I129="Y",J129="Y"),"",IF(AND(I129="N",J129="N"),"가까움·멂 모두 점수와 불일치",IF(I129="N","가까움이 최고점과 불일치","멂이 최저점과 불일치"))))</x:f>
      </x:c>
    </x:row>
    <x:row r="130">
      <x:c r="A130"/>
      <x:c r="B130"/>
      <x:c r="C130"/>
      <x:c r="D130"/>
      <x:c r="E130"/>
      <x:c r="F130"/>
      <x:c r="G130" t="str">
        <x:f>IF(COUNT(B130:D130)&lt;3,"",IF(B130=MAX(B130:D130),"A",IF(C130=MAX(B130:D130),"B","C")))</x:f>
      </x:c>
      <x:c r="H130" t="str">
        <x:f>IF(COUNT(B130:D130)&lt;3,"",IF(B130=MIN(B130:D130),"A",IF(C130=MIN(B130:D130),"B","C")))</x:f>
      </x:c>
      <x:c r="I130" t="str">
        <x:f>IF(OR(E130="",G130=""),"",IF(E130=G130,"Y","N"))</x:f>
      </x:c>
      <x:c r="J130" t="str">
        <x:f>IF(OR(F130="",H130=""),"",IF(F130=H130,"Y","N"))</x:f>
      </x:c>
      <x:c r="K130" t="str">
        <x:f>IF(OR(I130="",J130=""),"",IF(AND(I130="Y",J130="Y"),"",IF(AND(I130="N",J130="N"),"가까움·멂 모두 점수와 불일치",IF(I130="N","가까움이 최고점과 불일치","멂이 최저점과 불일치"))))</x:f>
      </x:c>
    </x:row>
    <x:row r="131">
      <x:c r="A131"/>
      <x:c r="B131"/>
      <x:c r="C131"/>
      <x:c r="D131"/>
      <x:c r="E131"/>
      <x:c r="F131"/>
      <x:c r="G131" t="str">
        <x:f>IF(COUNT(B131:D131)&lt;3,"",IF(B131=MAX(B131:D131),"A",IF(C131=MAX(B131:D131),"B","C")))</x:f>
      </x:c>
      <x:c r="H131" t="str">
        <x:f>IF(COUNT(B131:D131)&lt;3,"",IF(B131=MIN(B131:D131),"A",IF(C131=MIN(B131:D131),"B","C")))</x:f>
      </x:c>
      <x:c r="I131" t="str">
        <x:f>IF(OR(E131="",G131=""),"",IF(E131=G131,"Y","N"))</x:f>
      </x:c>
      <x:c r="J131" t="str">
        <x:f>IF(OR(F131="",H131=""),"",IF(F131=H131,"Y","N"))</x:f>
      </x:c>
      <x:c r="K131" t="str">
        <x:f>IF(OR(I131="",J131=""),"",IF(AND(I131="Y",J131="Y"),"",IF(AND(I131="N",J131="N"),"가까움·멂 모두 점수와 불일치",IF(I131="N","가까움이 최고점과 불일치","멂이 최저점과 불일치"))))</x:f>
      </x:c>
    </x:row>
    <x:row r="132">
      <x:c r="A132"/>
      <x:c r="B132"/>
      <x:c r="C132"/>
      <x:c r="D132"/>
      <x:c r="E132"/>
      <x:c r="F132"/>
      <x:c r="G132" t="str">
        <x:f>IF(COUNT(B132:D132)&lt;3,"",IF(B132=MAX(B132:D132),"A",IF(C132=MAX(B132:D132),"B","C")))</x:f>
      </x:c>
      <x:c r="H132" t="str">
        <x:f>IF(COUNT(B132:D132)&lt;3,"",IF(B132=MIN(B132:D132),"A",IF(C132=MIN(B132:D132),"B","C")))</x:f>
      </x:c>
      <x:c r="I132" t="str">
        <x:f>IF(OR(E132="",G132=""),"",IF(E132=G132,"Y","N"))</x:f>
      </x:c>
      <x:c r="J132" t="str">
        <x:f>IF(OR(F132="",H132=""),"",IF(F132=H132,"Y","N"))</x:f>
      </x:c>
      <x:c r="K132" t="str">
        <x:f>IF(OR(I132="",J132=""),"",IF(AND(I132="Y",J132="Y"),"",IF(AND(I132="N",J132="N"),"가까움·멂 모두 점수와 불일치",IF(I132="N","가까움이 최고점과 불일치","멂이 최저점과 불일치"))))</x:f>
      </x:c>
    </x:row>
    <x:row r="133">
      <x:c r="A133"/>
      <x:c r="B133"/>
      <x:c r="C133"/>
      <x:c r="D133"/>
      <x:c r="E133"/>
      <x:c r="F133"/>
      <x:c r="G133" t="str">
        <x:f>IF(COUNT(B133:D133)&lt;3,"",IF(B133=MAX(B133:D133),"A",IF(C133=MAX(B133:D133),"B","C")))</x:f>
      </x:c>
      <x:c r="H133" t="str">
        <x:f>IF(COUNT(B133:D133)&lt;3,"",IF(B133=MIN(B133:D133),"A",IF(C133=MIN(B133:D133),"B","C")))</x:f>
      </x:c>
      <x:c r="I133" t="str">
        <x:f>IF(OR(E133="",G133=""),"",IF(E133=G133,"Y","N"))</x:f>
      </x:c>
      <x:c r="J133" t="str">
        <x:f>IF(OR(F133="",H133=""),"",IF(F133=H133,"Y","N"))</x:f>
      </x:c>
      <x:c r="K133" t="str">
        <x:f>IF(OR(I133="",J133=""),"",IF(AND(I133="Y",J133="Y"),"",IF(AND(I133="N",J133="N"),"가까움·멂 모두 점수와 불일치",IF(I133="N","가까움이 최고점과 불일치","멂이 최저점과 불일치"))))</x:f>
      </x:c>
    </x:row>
    <x:row r="134">
      <x:c r="A134"/>
      <x:c r="B134"/>
      <x:c r="C134"/>
      <x:c r="D134"/>
      <x:c r="E134"/>
      <x:c r="F134"/>
      <x:c r="G134" t="str">
        <x:f>IF(COUNT(B134:D134)&lt;3,"",IF(B134=MAX(B134:D134),"A",IF(C134=MAX(B134:D134),"B","C")))</x:f>
      </x:c>
      <x:c r="H134" t="str">
        <x:f>IF(COUNT(B134:D134)&lt;3,"",IF(B134=MIN(B134:D134),"A",IF(C134=MIN(B134:D134),"B","C")))</x:f>
      </x:c>
      <x:c r="I134" t="str">
        <x:f>IF(OR(E134="",G134=""),"",IF(E134=G134,"Y","N"))</x:f>
      </x:c>
      <x:c r="J134" t="str">
        <x:f>IF(OR(F134="",H134=""),"",IF(F134=H134,"Y","N"))</x:f>
      </x:c>
      <x:c r="K134" t="str">
        <x:f>IF(OR(I134="",J134=""),"",IF(AND(I134="Y",J134="Y"),"",IF(AND(I134="N",J134="N"),"가까움·멂 모두 점수와 불일치",IF(I134="N","가까움이 최고점과 불일치","멂이 최저점과 불일치"))))</x:f>
      </x:c>
    </x:row>
    <x:row r="135">
      <x:c r="A135"/>
      <x:c r="B135"/>
      <x:c r="C135"/>
      <x:c r="D135"/>
      <x:c r="E135"/>
      <x:c r="F135"/>
      <x:c r="G135" t="str">
        <x:f>IF(COUNT(B135:D135)&lt;3,"",IF(B135=MAX(B135:D135),"A",IF(C135=MAX(B135:D135),"B","C")))</x:f>
      </x:c>
      <x:c r="H135" t="str">
        <x:f>IF(COUNT(B135:D135)&lt;3,"",IF(B135=MIN(B135:D135),"A",IF(C135=MIN(B135:D135),"B","C")))</x:f>
      </x:c>
      <x:c r="I135" t="str">
        <x:f>IF(OR(E135="",G135=""),"",IF(E135=G135,"Y","N"))</x:f>
      </x:c>
      <x:c r="J135" t="str">
        <x:f>IF(OR(F135="",H135=""),"",IF(F135=H135,"Y","N"))</x:f>
      </x:c>
      <x:c r="K135" t="str">
        <x:f>IF(OR(I135="",J135=""),"",IF(AND(I135="Y",J135="Y"),"",IF(AND(I135="N",J135="N"),"가까움·멂 모두 점수와 불일치",IF(I135="N","가까움이 최고점과 불일치","멂이 최저점과 불일치"))))</x:f>
      </x:c>
    </x:row>
    <x:row r="136">
      <x:c r="A136"/>
      <x:c r="B136"/>
      <x:c r="C136"/>
      <x:c r="D136"/>
      <x:c r="E136"/>
      <x:c r="F136"/>
      <x:c r="G136" t="str">
        <x:f>IF(COUNT(B136:D136)&lt;3,"",IF(B136=MAX(B136:D136),"A",IF(C136=MAX(B136:D136),"B","C")))</x:f>
      </x:c>
      <x:c r="H136" t="str">
        <x:f>IF(COUNT(B136:D136)&lt;3,"",IF(B136=MIN(B136:D136),"A",IF(C136=MIN(B136:D136),"B","C")))</x:f>
      </x:c>
      <x:c r="I136" t="str">
        <x:f>IF(OR(E136="",G136=""),"",IF(E136=G136,"Y","N"))</x:f>
      </x:c>
      <x:c r="J136" t="str">
        <x:f>IF(OR(F136="",H136=""),"",IF(F136=H136,"Y","N"))</x:f>
      </x:c>
      <x:c r="K136" t="str">
        <x:f>IF(OR(I136="",J136=""),"",IF(AND(I136="Y",J136="Y"),"",IF(AND(I136="N",J136="N"),"가까움·멂 모두 점수와 불일치",IF(I136="N","가까움이 최고점과 불일치","멂이 최저점과 불일치"))))</x:f>
      </x:c>
    </x:row>
    <x:row r="137">
      <x:c r="A137"/>
      <x:c r="B137"/>
      <x:c r="C137"/>
      <x:c r="D137"/>
      <x:c r="E137"/>
      <x:c r="F137"/>
      <x:c r="G137" t="str">
        <x:f>IF(COUNT(B137:D137)&lt;3,"",IF(B137=MAX(B137:D137),"A",IF(C137=MAX(B137:D137),"B","C")))</x:f>
      </x:c>
      <x:c r="H137" t="str">
        <x:f>IF(COUNT(B137:D137)&lt;3,"",IF(B137=MIN(B137:D137),"A",IF(C137=MIN(B137:D137),"B","C")))</x:f>
      </x:c>
      <x:c r="I137" t="str">
        <x:f>IF(OR(E137="",G137=""),"",IF(E137=G137,"Y","N"))</x:f>
      </x:c>
      <x:c r="J137" t="str">
        <x:f>IF(OR(F137="",H137=""),"",IF(F137=H137,"Y","N"))</x:f>
      </x:c>
      <x:c r="K137" t="str">
        <x:f>IF(OR(I137="",J137=""),"",IF(AND(I137="Y",J137="Y"),"",IF(AND(I137="N",J137="N"),"가까움·멂 모두 점수와 불일치",IF(I137="N","가까움이 최고점과 불일치","멂이 최저점과 불일치"))))</x:f>
      </x:c>
    </x:row>
    <x:row r="138">
      <x:c r="A138"/>
      <x:c r="B138"/>
      <x:c r="C138"/>
      <x:c r="D138"/>
      <x:c r="E138"/>
      <x:c r="F138"/>
      <x:c r="G138" t="str">
        <x:f>IF(COUNT(B138:D138)&lt;3,"",IF(B138=MAX(B138:D138),"A",IF(C138=MAX(B138:D138),"B","C")))</x:f>
      </x:c>
      <x:c r="H138" t="str">
        <x:f>IF(COUNT(B138:D138)&lt;3,"",IF(B138=MIN(B138:D138),"A",IF(C138=MIN(B138:D138),"B","C")))</x:f>
      </x:c>
      <x:c r="I138" t="str">
        <x:f>IF(OR(E138="",G138=""),"",IF(E138=G138,"Y","N"))</x:f>
      </x:c>
      <x:c r="J138" t="str">
        <x:f>IF(OR(F138="",H138=""),"",IF(F138=H138,"Y","N"))</x:f>
      </x:c>
      <x:c r="K138" t="str">
        <x:f>IF(OR(I138="",J138=""),"",IF(AND(I138="Y",J138="Y"),"",IF(AND(I138="N",J138="N"),"가까움·멂 모두 점수와 불일치",IF(I138="N","가까움이 최고점과 불일치","멂이 최저점과 불일치"))))</x:f>
      </x:c>
    </x:row>
    <x:row r="139">
      <x:c r="A139"/>
      <x:c r="B139"/>
      <x:c r="C139"/>
      <x:c r="D139"/>
      <x:c r="E139"/>
      <x:c r="F139"/>
      <x:c r="G139" t="str">
        <x:f>IF(COUNT(B139:D139)&lt;3,"",IF(B139=MAX(B139:D139),"A",IF(C139=MAX(B139:D139),"B","C")))</x:f>
      </x:c>
      <x:c r="H139" t="str">
        <x:f>IF(COUNT(B139:D139)&lt;3,"",IF(B139=MIN(B139:D139),"A",IF(C139=MIN(B139:D139),"B","C")))</x:f>
      </x:c>
      <x:c r="I139" t="str">
        <x:f>IF(OR(E139="",G139=""),"",IF(E139=G139,"Y","N"))</x:f>
      </x:c>
      <x:c r="J139" t="str">
        <x:f>IF(OR(F139="",H139=""),"",IF(F139=H139,"Y","N"))</x:f>
      </x:c>
      <x:c r="K139" t="str">
        <x:f>IF(OR(I139="",J139=""),"",IF(AND(I139="Y",J139="Y"),"",IF(AND(I139="N",J139="N"),"가까움·멂 모두 점수와 불일치",IF(I139="N","가까움이 최고점과 불일치","멂이 최저점과 불일치"))))</x:f>
      </x:c>
    </x:row>
    <x:row r="140">
      <x:c r="A140"/>
      <x:c r="B140"/>
      <x:c r="C140"/>
      <x:c r="D140"/>
      <x:c r="E140"/>
      <x:c r="F140"/>
      <x:c r="G140" t="str">
        <x:f>IF(COUNT(B140:D140)&lt;3,"",IF(B140=MAX(B140:D140),"A",IF(C140=MAX(B140:D140),"B","C")))</x:f>
      </x:c>
      <x:c r="H140" t="str">
        <x:f>IF(COUNT(B140:D140)&lt;3,"",IF(B140=MIN(B140:D140),"A",IF(C140=MIN(B140:D140),"B","C")))</x:f>
      </x:c>
      <x:c r="I140" t="str">
        <x:f>IF(OR(E140="",G140=""),"",IF(E140=G140,"Y","N"))</x:f>
      </x:c>
      <x:c r="J140" t="str">
        <x:f>IF(OR(F140="",H140=""),"",IF(F140=H140,"Y","N"))</x:f>
      </x:c>
      <x:c r="K140" t="str">
        <x:f>IF(OR(I140="",J140=""),"",IF(AND(I140="Y",J140="Y"),"",IF(AND(I140="N",J140="N"),"가까움·멂 모두 점수와 불일치",IF(I140="N","가까움이 최고점과 불일치","멂이 최저점과 불일치"))))</x:f>
      </x:c>
    </x:row>
    <x:row r="141">
      <x:c r="A141"/>
      <x:c r="B141"/>
      <x:c r="C141"/>
      <x:c r="D141"/>
      <x:c r="E141"/>
      <x:c r="F141"/>
      <x:c r="G141" t="str">
        <x:f>IF(COUNT(B141:D141)&lt;3,"",IF(B141=MAX(B141:D141),"A",IF(C141=MAX(B141:D141),"B","C")))</x:f>
      </x:c>
      <x:c r="H141" t="str">
        <x:f>IF(COUNT(B141:D141)&lt;3,"",IF(B141=MIN(B141:D141),"A",IF(C141=MIN(B141:D141),"B","C")))</x:f>
      </x:c>
      <x:c r="I141" t="str">
        <x:f>IF(OR(E141="",G141=""),"",IF(E141=G141,"Y","N"))</x:f>
      </x:c>
      <x:c r="J141" t="str">
        <x:f>IF(OR(F141="",H141=""),"",IF(F141=H141,"Y","N"))</x:f>
      </x:c>
      <x:c r="K141" t="str">
        <x:f>IF(OR(I141="",J141=""),"",IF(AND(I141="Y",J141="Y"),"",IF(AND(I141="N",J141="N"),"가까움·멂 모두 점수와 불일치",IF(I141="N","가까움이 최고점과 불일치","멂이 최저점과 불일치"))))</x:f>
      </x:c>
    </x:row>
    <x:row r="142">
      <x:c r="A142"/>
      <x:c r="B142"/>
      <x:c r="C142"/>
      <x:c r="D142"/>
      <x:c r="E142"/>
      <x:c r="F142"/>
      <x:c r="G142" t="str">
        <x:f>IF(COUNT(B142:D142)&lt;3,"",IF(B142=MAX(B142:D142),"A",IF(C142=MAX(B142:D142),"B","C")))</x:f>
      </x:c>
      <x:c r="H142" t="str">
        <x:f>IF(COUNT(B142:D142)&lt;3,"",IF(B142=MIN(B142:D142),"A",IF(C142=MIN(B142:D142),"B","C")))</x:f>
      </x:c>
      <x:c r="I142" t="str">
        <x:f>IF(OR(E142="",G142=""),"",IF(E142=G142,"Y","N"))</x:f>
      </x:c>
      <x:c r="J142" t="str">
        <x:f>IF(OR(F142="",H142=""),"",IF(F142=H142,"Y","N"))</x:f>
      </x:c>
      <x:c r="K142" t="str">
        <x:f>IF(OR(I142="",J142=""),"",IF(AND(I142="Y",J142="Y"),"",IF(AND(I142="N",J142="N"),"가까움·멂 모두 점수와 불일치",IF(I142="N","가까움이 최고점과 불일치","멂이 최저점과 불일치"))))</x:f>
      </x:c>
    </x:row>
    <x:row r="143">
      <x:c r="A143"/>
      <x:c r="B143"/>
      <x:c r="C143"/>
      <x:c r="D143"/>
      <x:c r="E143"/>
      <x:c r="F143"/>
      <x:c r="G143" t="str">
        <x:f>IF(COUNT(B143:D143)&lt;3,"",IF(B143=MAX(B143:D143),"A",IF(C143=MAX(B143:D143),"B","C")))</x:f>
      </x:c>
      <x:c r="H143" t="str">
        <x:f>IF(COUNT(B143:D143)&lt;3,"",IF(B143=MIN(B143:D143),"A",IF(C143=MIN(B143:D143),"B","C")))</x:f>
      </x:c>
      <x:c r="I143" t="str">
        <x:f>IF(OR(E143="",G143=""),"",IF(E143=G143,"Y","N"))</x:f>
      </x:c>
      <x:c r="J143" t="str">
        <x:f>IF(OR(F143="",H143=""),"",IF(F143=H143,"Y","N"))</x:f>
      </x:c>
      <x:c r="K143" t="str">
        <x:f>IF(OR(I143="",J143=""),"",IF(AND(I143="Y",J143="Y"),"",IF(AND(I143="N",J143="N"),"가까움·멂 모두 점수와 불일치",IF(I143="N","가까움이 최고점과 불일치","멂이 최저점과 불일치"))))</x:f>
      </x:c>
    </x:row>
    <x:row r="144">
      <x:c r="A144"/>
      <x:c r="B144"/>
      <x:c r="C144"/>
      <x:c r="D144"/>
      <x:c r="E144"/>
      <x:c r="F144"/>
      <x:c r="G144" t="str">
        <x:f>IF(COUNT(B144:D144)&lt;3,"",IF(B144=MAX(B144:D144),"A",IF(C144=MAX(B144:D144),"B","C")))</x:f>
      </x:c>
      <x:c r="H144" t="str">
        <x:f>IF(COUNT(B144:D144)&lt;3,"",IF(B144=MIN(B144:D144),"A",IF(C144=MIN(B144:D144),"B","C")))</x:f>
      </x:c>
      <x:c r="I144" t="str">
        <x:f>IF(OR(E144="",G144=""),"",IF(E144=G144,"Y","N"))</x:f>
      </x:c>
      <x:c r="J144" t="str">
        <x:f>IF(OR(F144="",H144=""),"",IF(F144=H144,"Y","N"))</x:f>
      </x:c>
      <x:c r="K144" t="str">
        <x:f>IF(OR(I144="",J144=""),"",IF(AND(I144="Y",J144="Y"),"",IF(AND(I144="N",J144="N"),"가까움·멂 모두 점수와 불일치",IF(I144="N","가까움이 최고점과 불일치","멂이 최저점과 불일치"))))</x:f>
      </x:c>
    </x:row>
    <x:row r="145">
      <x:c r="A145"/>
      <x:c r="B145"/>
      <x:c r="C145"/>
      <x:c r="D145"/>
      <x:c r="E145"/>
      <x:c r="F145"/>
      <x:c r="G145" t="str">
        <x:f>IF(COUNT(B145:D145)&lt;3,"",IF(B145=MAX(B145:D145),"A",IF(C145=MAX(B145:D145),"B","C")))</x:f>
      </x:c>
      <x:c r="H145" t="str">
        <x:f>IF(COUNT(B145:D145)&lt;3,"",IF(B145=MIN(B145:D145),"A",IF(C145=MIN(B145:D145),"B","C")))</x:f>
      </x:c>
      <x:c r="I145" t="str">
        <x:f>IF(OR(E145="",G145=""),"",IF(E145=G145,"Y","N"))</x:f>
      </x:c>
      <x:c r="J145" t="str">
        <x:f>IF(OR(F145="",H145=""),"",IF(F145=H145,"Y","N"))</x:f>
      </x:c>
      <x:c r="K145" t="str">
        <x:f>IF(OR(I145="",J145=""),"",IF(AND(I145="Y",J145="Y"),"",IF(AND(I145="N",J145="N"),"가까움·멂 모두 점수와 불일치",IF(I145="N","가까움이 최고점과 불일치","멂이 최저점과 불일치"))))</x:f>
      </x:c>
    </x:row>
    <x:row r="146">
      <x:c r="A146"/>
      <x:c r="B146"/>
      <x:c r="C146"/>
      <x:c r="D146"/>
      <x:c r="E146"/>
      <x:c r="F146"/>
      <x:c r="G146" t="str">
        <x:f>IF(COUNT(B146:D146)&lt;3,"",IF(B146=MAX(B146:D146),"A",IF(C146=MAX(B146:D146),"B","C")))</x:f>
      </x:c>
      <x:c r="H146" t="str">
        <x:f>IF(COUNT(B146:D146)&lt;3,"",IF(B146=MIN(B146:D146),"A",IF(C146=MIN(B146:D146),"B","C")))</x:f>
      </x:c>
      <x:c r="I146" t="str">
        <x:f>IF(OR(E146="",G146=""),"",IF(E146=G146,"Y","N"))</x:f>
      </x:c>
      <x:c r="J146" t="str">
        <x:f>IF(OR(F146="",H146=""),"",IF(F146=H146,"Y","N"))</x:f>
      </x:c>
      <x:c r="K146" t="str">
        <x:f>IF(OR(I146="",J146=""),"",IF(AND(I146="Y",J146="Y"),"",IF(AND(I146="N",J146="N"),"가까움·멂 모두 점수와 불일치",IF(I146="N","가까움이 최고점과 불일치","멂이 최저점과 불일치"))))</x:f>
      </x:c>
    </x:row>
    <x:row r="147">
      <x:c r="A147"/>
      <x:c r="B147"/>
      <x:c r="C147"/>
      <x:c r="D147"/>
      <x:c r="E147"/>
      <x:c r="F147"/>
      <x:c r="G147" t="str">
        <x:f>IF(COUNT(B147:D147)&lt;3,"",IF(B147=MAX(B147:D147),"A",IF(C147=MAX(B147:D147),"B","C")))</x:f>
      </x:c>
      <x:c r="H147" t="str">
        <x:f>IF(COUNT(B147:D147)&lt;3,"",IF(B147=MIN(B147:D147),"A",IF(C147=MIN(B147:D147),"B","C")))</x:f>
      </x:c>
      <x:c r="I147" t="str">
        <x:f>IF(OR(E147="",G147=""),"",IF(E147=G147,"Y","N"))</x:f>
      </x:c>
      <x:c r="J147" t="str">
        <x:f>IF(OR(F147="",H147=""),"",IF(F147=H147,"Y","N"))</x:f>
      </x:c>
      <x:c r="K147" t="str">
        <x:f>IF(OR(I147="",J147=""),"",IF(AND(I147="Y",J147="Y"),"",IF(AND(I147="N",J147="N"),"가까움·멂 모두 점수와 불일치",IF(I147="N","가까움이 최고점과 불일치","멂이 최저점과 불일치"))))</x:f>
      </x:c>
    </x:row>
    <x:row r="148">
      <x:c r="A148"/>
      <x:c r="B148"/>
      <x:c r="C148"/>
      <x:c r="D148"/>
      <x:c r="E148"/>
      <x:c r="F148"/>
      <x:c r="G148" t="str">
        <x:f>IF(COUNT(B148:D148)&lt;3,"",IF(B148=MAX(B148:D148),"A",IF(C148=MAX(B148:D148),"B","C")))</x:f>
      </x:c>
      <x:c r="H148" t="str">
        <x:f>IF(COUNT(B148:D148)&lt;3,"",IF(B148=MIN(B148:D148),"A",IF(C148=MIN(B148:D148),"B","C")))</x:f>
      </x:c>
      <x:c r="I148" t="str">
        <x:f>IF(OR(E148="",G148=""),"",IF(E148=G148,"Y","N"))</x:f>
      </x:c>
      <x:c r="J148" t="str">
        <x:f>IF(OR(F148="",H148=""),"",IF(F148=H148,"Y","N"))</x:f>
      </x:c>
      <x:c r="K148" t="str">
        <x:f>IF(OR(I148="",J148=""),"",IF(AND(I148="Y",J148="Y"),"",IF(AND(I148="N",J148="N"),"가까움·멂 모두 점수와 불일치",IF(I148="N","가까움이 최고점과 불일치","멂이 최저점과 불일치"))))</x:f>
      </x:c>
    </x:row>
    <x:row r="149">
      <x:c r="A149"/>
      <x:c r="B149"/>
      <x:c r="C149"/>
      <x:c r="D149"/>
      <x:c r="E149"/>
      <x:c r="F149"/>
      <x:c r="G149" t="str">
        <x:f>IF(COUNT(B149:D149)&lt;3,"",IF(B149=MAX(B149:D149),"A",IF(C149=MAX(B149:D149),"B","C")))</x:f>
      </x:c>
      <x:c r="H149" t="str">
        <x:f>IF(COUNT(B149:D149)&lt;3,"",IF(B149=MIN(B149:D149),"A",IF(C149=MIN(B149:D149),"B","C")))</x:f>
      </x:c>
      <x:c r="I149" t="str">
        <x:f>IF(OR(E149="",G149=""),"",IF(E149=G149,"Y","N"))</x:f>
      </x:c>
      <x:c r="J149" t="str">
        <x:f>IF(OR(F149="",H149=""),"",IF(F149=H149,"Y","N"))</x:f>
      </x:c>
      <x:c r="K149" t="str">
        <x:f>IF(OR(I149="",J149=""),"",IF(AND(I149="Y",J149="Y"),"",IF(AND(I149="N",J149="N"),"가까움·멂 모두 점수와 불일치",IF(I149="N","가까움이 최고점과 불일치","멂이 최저점과 불일치"))))</x:f>
      </x:c>
    </x:row>
    <x:row r="150">
      <x:c r="A150"/>
      <x:c r="B150"/>
      <x:c r="C150"/>
      <x:c r="D150"/>
      <x:c r="E150"/>
      <x:c r="F150"/>
      <x:c r="G150" t="str">
        <x:f>IF(COUNT(B150:D150)&lt;3,"",IF(B150=MAX(B150:D150),"A",IF(C150=MAX(B150:D150),"B","C")))</x:f>
      </x:c>
      <x:c r="H150" t="str">
        <x:f>IF(COUNT(B150:D150)&lt;3,"",IF(B150=MIN(B150:D150),"A",IF(C150=MIN(B150:D150),"B","C")))</x:f>
      </x:c>
      <x:c r="I150" t="str">
        <x:f>IF(OR(E150="",G150=""),"",IF(E150=G150,"Y","N"))</x:f>
      </x:c>
      <x:c r="J150" t="str">
        <x:f>IF(OR(F150="",H150=""),"",IF(F150=H150,"Y","N"))</x:f>
      </x:c>
      <x:c r="K150" t="str">
        <x:f>IF(OR(I150="",J150=""),"",IF(AND(I150="Y",J150="Y"),"",IF(AND(I150="N",J150="N"),"가까움·멂 모두 점수와 불일치",IF(I150="N","가까움이 최고점과 불일치","멂이 최저점과 불일치"))))</x:f>
      </x:c>
    </x:row>
    <x:row r="151">
      <x:c r="A151"/>
      <x:c r="B151"/>
      <x:c r="C151"/>
      <x:c r="D151"/>
      <x:c r="E151"/>
      <x:c r="F151"/>
      <x:c r="G151" t="str">
        <x:f>IF(COUNT(B151:D151)&lt;3,"",IF(B151=MAX(B151:D151),"A",IF(C151=MAX(B151:D151),"B","C")))</x:f>
      </x:c>
      <x:c r="H151" t="str">
        <x:f>IF(COUNT(B151:D151)&lt;3,"",IF(B151=MIN(B151:D151),"A",IF(C151=MIN(B151:D151),"B","C")))</x:f>
      </x:c>
      <x:c r="I151" t="str">
        <x:f>IF(OR(E151="",G151=""),"",IF(E151=G151,"Y","N"))</x:f>
      </x:c>
      <x:c r="J151" t="str">
        <x:f>IF(OR(F151="",H151=""),"",IF(F151=H151,"Y","N"))</x:f>
      </x:c>
      <x:c r="K151" t="str">
        <x:f>IF(OR(I151="",J151=""),"",IF(AND(I151="Y",J151="Y"),"",IF(AND(I151="N",J151="N"),"가까움·멂 모두 점수와 불일치",IF(I151="N","가까움이 최고점과 불일치","멂이 최저점과 불일치"))))</x:f>
      </x:c>
    </x:row>
    <x:row r="152">
      <x:c r="A152"/>
      <x:c r="B152"/>
      <x:c r="C152"/>
      <x:c r="D152"/>
      <x:c r="E152"/>
      <x:c r="F152"/>
      <x:c r="G152" t="str">
        <x:f>IF(COUNT(B152:D152)&lt;3,"",IF(B152=MAX(B152:D152),"A",IF(C152=MAX(B152:D152),"B","C")))</x:f>
      </x:c>
      <x:c r="H152" t="str">
        <x:f>IF(COUNT(B152:D152)&lt;3,"",IF(B152=MIN(B152:D152),"A",IF(C152=MIN(B152:D152),"B","C")))</x:f>
      </x:c>
      <x:c r="I152" t="str">
        <x:f>IF(OR(E152="",G152=""),"",IF(E152=G152,"Y","N"))</x:f>
      </x:c>
      <x:c r="J152" t="str">
        <x:f>IF(OR(F152="",H152=""),"",IF(F152=H152,"Y","N"))</x:f>
      </x:c>
      <x:c r="K152" t="str">
        <x:f>IF(OR(I152="",J152=""),"",IF(AND(I152="Y",J152="Y"),"",IF(AND(I152="N",J152="N"),"가까움·멂 모두 점수와 불일치",IF(I152="N","가까움이 최고점과 불일치","멂이 최저점과 불일치"))))</x:f>
      </x:c>
    </x:row>
    <x:row r="153">
      <x:c r="A153"/>
      <x:c r="B153"/>
      <x:c r="C153"/>
      <x:c r="D153"/>
      <x:c r="E153"/>
      <x:c r="F153"/>
      <x:c r="G153" t="str">
        <x:f>IF(COUNT(B153:D153)&lt;3,"",IF(B153=MAX(B153:D153),"A",IF(C153=MAX(B153:D153),"B","C")))</x:f>
      </x:c>
      <x:c r="H153" t="str">
        <x:f>IF(COUNT(B153:D153)&lt;3,"",IF(B153=MIN(B153:D153),"A",IF(C153=MIN(B153:D153),"B","C")))</x:f>
      </x:c>
      <x:c r="I153" t="str">
        <x:f>IF(OR(E153="",G153=""),"",IF(E153=G153,"Y","N"))</x:f>
      </x:c>
      <x:c r="J153" t="str">
        <x:f>IF(OR(F153="",H153=""),"",IF(F153=H153,"Y","N"))</x:f>
      </x:c>
      <x:c r="K153" t="str">
        <x:f>IF(OR(I153="",J153=""),"",IF(AND(I153="Y",J153="Y"),"",IF(AND(I153="N",J153="N"),"가까움·멂 모두 점수와 불일치",IF(I153="N","가까움이 최고점과 불일치","멂이 최저점과 불일치"))))</x:f>
      </x:c>
    </x:row>
    <x:row r="154">
      <x:c r="A154"/>
      <x:c r="B154"/>
      <x:c r="C154"/>
      <x:c r="D154"/>
      <x:c r="E154"/>
      <x:c r="F154"/>
      <x:c r="G154" t="str">
        <x:f>IF(COUNT(B154:D154)&lt;3,"",IF(B154=MAX(B154:D154),"A",IF(C154=MAX(B154:D154),"B","C")))</x:f>
      </x:c>
      <x:c r="H154" t="str">
        <x:f>IF(COUNT(B154:D154)&lt;3,"",IF(B154=MIN(B154:D154),"A",IF(C154=MIN(B154:D154),"B","C")))</x:f>
      </x:c>
      <x:c r="I154" t="str">
        <x:f>IF(OR(E154="",G154=""),"",IF(E154=G154,"Y","N"))</x:f>
      </x:c>
      <x:c r="J154" t="str">
        <x:f>IF(OR(F154="",H154=""),"",IF(F154=H154,"Y","N"))</x:f>
      </x:c>
      <x:c r="K154" t="str">
        <x:f>IF(OR(I154="",J154=""),"",IF(AND(I154="Y",J154="Y"),"",IF(AND(I154="N",J154="N"),"가까움·멂 모두 점수와 불일치",IF(I154="N","가까움이 최고점과 불일치","멂이 최저점과 불일치"))))</x:f>
      </x:c>
    </x:row>
    <x:row r="155">
      <x:c r="A155"/>
      <x:c r="B155"/>
      <x:c r="C155"/>
      <x:c r="D155"/>
      <x:c r="E155"/>
      <x:c r="F155"/>
      <x:c r="G155" t="str">
        <x:f>IF(COUNT(B155:D155)&lt;3,"",IF(B155=MAX(B155:D155),"A",IF(C155=MAX(B155:D155),"B","C")))</x:f>
      </x:c>
      <x:c r="H155" t="str">
        <x:f>IF(COUNT(B155:D155)&lt;3,"",IF(B155=MIN(B155:D155),"A",IF(C155=MIN(B155:D155),"B","C")))</x:f>
      </x:c>
      <x:c r="I155" t="str">
        <x:f>IF(OR(E155="",G155=""),"",IF(E155=G155,"Y","N"))</x:f>
      </x:c>
      <x:c r="J155" t="str">
        <x:f>IF(OR(F155="",H155=""),"",IF(F155=H155,"Y","N"))</x:f>
      </x:c>
      <x:c r="K155" t="str">
        <x:f>IF(OR(I155="",J155=""),"",IF(AND(I155="Y",J155="Y"),"",IF(AND(I155="N",J155="N"),"가까움·멂 모두 점수와 불일치",IF(I155="N","가까움이 최고점과 불일치","멂이 최저점과 불일치"))))</x:f>
      </x:c>
    </x:row>
    <x:row r="156">
      <x:c r="A156"/>
      <x:c r="B156"/>
      <x:c r="C156"/>
      <x:c r="D156"/>
      <x:c r="E156"/>
      <x:c r="F156"/>
      <x:c r="G156" t="str">
        <x:f>IF(COUNT(B156:D156)&lt;3,"",IF(B156=MAX(B156:D156),"A",IF(C156=MAX(B156:D156),"B","C")))</x:f>
      </x:c>
      <x:c r="H156" t="str">
        <x:f>IF(COUNT(B156:D156)&lt;3,"",IF(B156=MIN(B156:D156),"A",IF(C156=MIN(B156:D156),"B","C")))</x:f>
      </x:c>
      <x:c r="I156" t="str">
        <x:f>IF(OR(E156="",G156=""),"",IF(E156=G156,"Y","N"))</x:f>
      </x:c>
      <x:c r="J156" t="str">
        <x:f>IF(OR(F156="",H156=""),"",IF(F156=H156,"Y","N"))</x:f>
      </x:c>
      <x:c r="K156" t="str">
        <x:f>IF(OR(I156="",J156=""),"",IF(AND(I156="Y",J156="Y"),"",IF(AND(I156="N",J156="N"),"가까움·멂 모두 점수와 불일치",IF(I156="N","가까움이 최고점과 불일치","멂이 최저점과 불일치"))))</x:f>
      </x:c>
    </x:row>
    <x:row r="157">
      <x:c r="A157"/>
      <x:c r="B157"/>
      <x:c r="C157"/>
      <x:c r="D157"/>
      <x:c r="E157"/>
      <x:c r="F157"/>
      <x:c r="G157" t="str">
        <x:f>IF(COUNT(B157:D157)&lt;3,"",IF(B157=MAX(B157:D157),"A",IF(C157=MAX(B157:D157),"B","C")))</x:f>
      </x:c>
      <x:c r="H157" t="str">
        <x:f>IF(COUNT(B157:D157)&lt;3,"",IF(B157=MIN(B157:D157),"A",IF(C157=MIN(B157:D157),"B","C")))</x:f>
      </x:c>
      <x:c r="I157" t="str">
        <x:f>IF(OR(E157="",G157=""),"",IF(E157=G157,"Y","N"))</x:f>
      </x:c>
      <x:c r="J157" t="str">
        <x:f>IF(OR(F157="",H157=""),"",IF(F157=H157,"Y","N"))</x:f>
      </x:c>
      <x:c r="K157" t="str">
        <x:f>IF(OR(I157="",J157=""),"",IF(AND(I157="Y",J157="Y"),"",IF(AND(I157="N",J157="N"),"가까움·멂 모두 점수와 불일치",IF(I157="N","가까움이 최고점과 불일치","멂이 최저점과 불일치"))))</x:f>
      </x:c>
    </x:row>
    <x:row r="158">
      <x:c r="A158"/>
      <x:c r="B158"/>
      <x:c r="C158"/>
      <x:c r="D158"/>
      <x:c r="E158"/>
      <x:c r="F158"/>
      <x:c r="G158" t="str">
        <x:f>IF(COUNT(B158:D158)&lt;3,"",IF(B158=MAX(B158:D158),"A",IF(C158=MAX(B158:D158),"B","C")))</x:f>
      </x:c>
      <x:c r="H158" t="str">
        <x:f>IF(COUNT(B158:D158)&lt;3,"",IF(B158=MIN(B158:D158),"A",IF(C158=MIN(B158:D158),"B","C")))</x:f>
      </x:c>
      <x:c r="I158" t="str">
        <x:f>IF(OR(E158="",G158=""),"",IF(E158=G158,"Y","N"))</x:f>
      </x:c>
      <x:c r="J158" t="str">
        <x:f>IF(OR(F158="",H158=""),"",IF(F158=H158,"Y","N"))</x:f>
      </x:c>
      <x:c r="K158" t="str">
        <x:f>IF(OR(I158="",J158=""),"",IF(AND(I158="Y",J158="Y"),"",IF(AND(I158="N",J158="N"),"가까움·멂 모두 점수와 불일치",IF(I158="N","가까움이 최고점과 불일치","멂이 최저점과 불일치"))))</x:f>
      </x:c>
    </x:row>
    <x:row r="159">
      <x:c r="A159"/>
      <x:c r="B159"/>
      <x:c r="C159"/>
      <x:c r="D159"/>
      <x:c r="E159"/>
      <x:c r="F159"/>
      <x:c r="G159" t="str">
        <x:f>IF(COUNT(B159:D159)&lt;3,"",IF(B159=MAX(B159:D159),"A",IF(C159=MAX(B159:D159),"B","C")))</x:f>
      </x:c>
      <x:c r="H159" t="str">
        <x:f>IF(COUNT(B159:D159)&lt;3,"",IF(B159=MIN(B159:D159),"A",IF(C159=MIN(B159:D159),"B","C")))</x:f>
      </x:c>
      <x:c r="I159" t="str">
        <x:f>IF(OR(E159="",G159=""),"",IF(E159=G159,"Y","N"))</x:f>
      </x:c>
      <x:c r="J159" t="str">
        <x:f>IF(OR(F159="",H159=""),"",IF(F159=H159,"Y","N"))</x:f>
      </x:c>
      <x:c r="K159" t="str">
        <x:f>IF(OR(I159="",J159=""),"",IF(AND(I159="Y",J159="Y"),"",IF(AND(I159="N",J159="N"),"가까움·멂 모두 점수와 불일치",IF(I159="N","가까움이 최고점과 불일치","멂이 최저점과 불일치"))))</x:f>
      </x:c>
    </x:row>
    <x:row r="160">
      <x:c r="A160"/>
      <x:c r="B160"/>
      <x:c r="C160"/>
      <x:c r="D160"/>
      <x:c r="E160"/>
      <x:c r="F160"/>
      <x:c r="G160" t="str">
        <x:f>IF(COUNT(B160:D160)&lt;3,"",IF(B160=MAX(B160:D160),"A",IF(C160=MAX(B160:D160),"B","C")))</x:f>
      </x:c>
      <x:c r="H160" t="str">
        <x:f>IF(COUNT(B160:D160)&lt;3,"",IF(B160=MIN(B160:D160),"A",IF(C160=MIN(B160:D160),"B","C")))</x:f>
      </x:c>
      <x:c r="I160" t="str">
        <x:f>IF(OR(E160="",G160=""),"",IF(E160=G160,"Y","N"))</x:f>
      </x:c>
      <x:c r="J160" t="str">
        <x:f>IF(OR(F160="",H160=""),"",IF(F160=H160,"Y","N"))</x:f>
      </x:c>
      <x:c r="K160" t="str">
        <x:f>IF(OR(I160="",J160=""),"",IF(AND(I160="Y",J160="Y"),"",IF(AND(I160="N",J160="N"),"가까움·멂 모두 점수와 불일치",IF(I160="N","가까움이 최고점과 불일치","멂이 최저점과 불일치"))))</x:f>
      </x:c>
    </x:row>
    <x:row r="161">
      <x:c r="A161"/>
      <x:c r="B161"/>
      <x:c r="C161"/>
      <x:c r="D161"/>
      <x:c r="E161"/>
      <x:c r="F161"/>
      <x:c r="G161" t="str">
        <x:f>IF(COUNT(B161:D161)&lt;3,"",IF(B161=MAX(B161:D161),"A",IF(C161=MAX(B161:D161),"B","C")))</x:f>
      </x:c>
      <x:c r="H161" t="str">
        <x:f>IF(COUNT(B161:D161)&lt;3,"",IF(B161=MIN(B161:D161),"A",IF(C161=MIN(B161:D161),"B","C")))</x:f>
      </x:c>
      <x:c r="I161" t="str">
        <x:f>IF(OR(E161="",G161=""),"",IF(E161=G161,"Y","N"))</x:f>
      </x:c>
      <x:c r="J161" t="str">
        <x:f>IF(OR(F161="",H161=""),"",IF(F161=H161,"Y","N"))</x:f>
      </x:c>
      <x:c r="K161" t="str">
        <x:f>IF(OR(I161="",J161=""),"",IF(AND(I161="Y",J161="Y"),"",IF(AND(I161="N",J161="N"),"가까움·멂 모두 점수와 불일치",IF(I161="N","가까움이 최고점과 불일치","멂이 최저점과 불일치"))))</x:f>
      </x:c>
    </x:row>
    <x:row r="162">
      <x:c r="A162"/>
      <x:c r="B162"/>
      <x:c r="C162"/>
      <x:c r="D162"/>
      <x:c r="E162"/>
      <x:c r="F162"/>
      <x:c r="G162" t="str">
        <x:f>IF(COUNT(B162:D162)&lt;3,"",IF(B162=MAX(B162:D162),"A",IF(C162=MAX(B162:D162),"B","C")))</x:f>
      </x:c>
      <x:c r="H162" t="str">
        <x:f>IF(COUNT(B162:D162)&lt;3,"",IF(B162=MIN(B162:D162),"A",IF(C162=MIN(B162:D162),"B","C")))</x:f>
      </x:c>
      <x:c r="I162" t="str">
        <x:f>IF(OR(E162="",G162=""),"",IF(E162=G162,"Y","N"))</x:f>
      </x:c>
      <x:c r="J162" t="str">
        <x:f>IF(OR(F162="",H162=""),"",IF(F162=H162,"Y","N"))</x:f>
      </x:c>
      <x:c r="K162" t="str">
        <x:f>IF(OR(I162="",J162=""),"",IF(AND(I162="Y",J162="Y"),"",IF(AND(I162="N",J162="N"),"가까움·멂 모두 점수와 불일치",IF(I162="N","가까움이 최고점과 불일치","멂이 최저점과 불일치"))))</x:f>
      </x:c>
    </x:row>
    <x:row r="163">
      <x:c r="A163"/>
      <x:c r="B163"/>
      <x:c r="C163"/>
      <x:c r="D163"/>
      <x:c r="E163"/>
      <x:c r="F163"/>
      <x:c r="G163" t="str">
        <x:f>IF(COUNT(B163:D163)&lt;3,"",IF(B163=MAX(B163:D163),"A",IF(C163=MAX(B163:D163),"B","C")))</x:f>
      </x:c>
      <x:c r="H163" t="str">
        <x:f>IF(COUNT(B163:D163)&lt;3,"",IF(B163=MIN(B163:D163),"A",IF(C163=MIN(B163:D163),"B","C")))</x:f>
      </x:c>
      <x:c r="I163" t="str">
        <x:f>IF(OR(E163="",G163=""),"",IF(E163=G163,"Y","N"))</x:f>
      </x:c>
      <x:c r="J163" t="str">
        <x:f>IF(OR(F163="",H163=""),"",IF(F163=H163,"Y","N"))</x:f>
      </x:c>
      <x:c r="K163" t="str">
        <x:f>IF(OR(I163="",J163=""),"",IF(AND(I163="Y",J163="Y"),"",IF(AND(I163="N",J163="N"),"가까움·멂 모두 점수와 불일치",IF(I163="N","가까움이 최고점과 불일치","멂이 최저점과 불일치"))))</x:f>
      </x:c>
    </x:row>
    <x:row r="164">
      <x:c r="A164"/>
      <x:c r="B164"/>
      <x:c r="C164"/>
      <x:c r="D164"/>
      <x:c r="E164"/>
      <x:c r="F164"/>
      <x:c r="G164" t="str">
        <x:f>IF(COUNT(B164:D164)&lt;3,"",IF(B164=MAX(B164:D164),"A",IF(C164=MAX(B164:D164),"B","C")))</x:f>
      </x:c>
      <x:c r="H164" t="str">
        <x:f>IF(COUNT(B164:D164)&lt;3,"",IF(B164=MIN(B164:D164),"A",IF(C164=MIN(B164:D164),"B","C")))</x:f>
      </x:c>
      <x:c r="I164" t="str">
        <x:f>IF(OR(E164="",G164=""),"",IF(E164=G164,"Y","N"))</x:f>
      </x:c>
      <x:c r="J164" t="str">
        <x:f>IF(OR(F164="",H164=""),"",IF(F164=H164,"Y","N"))</x:f>
      </x:c>
      <x:c r="K164" t="str">
        <x:f>IF(OR(I164="",J164=""),"",IF(AND(I164="Y",J164="Y"),"",IF(AND(I164="N",J164="N"),"가까움·멂 모두 점수와 불일치",IF(I164="N","가까움이 최고점과 불일치","멂이 최저점과 불일치"))))</x:f>
      </x:c>
    </x:row>
    <x:row r="165">
      <x:c r="A165"/>
      <x:c r="B165"/>
      <x:c r="C165"/>
      <x:c r="D165"/>
      <x:c r="E165"/>
      <x:c r="F165"/>
      <x:c r="G165" t="str">
        <x:f>IF(COUNT(B165:D165)&lt;3,"",IF(B165=MAX(B165:D165),"A",IF(C165=MAX(B165:D165),"B","C")))</x:f>
      </x:c>
      <x:c r="H165" t="str">
        <x:f>IF(COUNT(B165:D165)&lt;3,"",IF(B165=MIN(B165:D165),"A",IF(C165=MIN(B165:D165),"B","C")))</x:f>
      </x:c>
      <x:c r="I165" t="str">
        <x:f>IF(OR(E165="",G165=""),"",IF(E165=G165,"Y","N"))</x:f>
      </x:c>
      <x:c r="J165" t="str">
        <x:f>IF(OR(F165="",H165=""),"",IF(F165=H165,"Y","N"))</x:f>
      </x:c>
      <x:c r="K165" t="str">
        <x:f>IF(OR(I165="",J165=""),"",IF(AND(I165="Y",J165="Y"),"",IF(AND(I165="N",J165="N"),"가까움·멂 모두 점수와 불일치",IF(I165="N","가까움이 최고점과 불일치","멂이 최저점과 불일치"))))</x:f>
      </x:c>
    </x:row>
    <x:row r="166">
      <x:c r="A166"/>
      <x:c r="B166"/>
      <x:c r="C166"/>
      <x:c r="D166"/>
      <x:c r="E166"/>
      <x:c r="F166"/>
      <x:c r="G166" t="str">
        <x:f>IF(COUNT(B166:D166)&lt;3,"",IF(B166=MAX(B166:D166),"A",IF(C166=MAX(B166:D166),"B","C")))</x:f>
      </x:c>
      <x:c r="H166" t="str">
        <x:f>IF(COUNT(B166:D166)&lt;3,"",IF(B166=MIN(B166:D166),"A",IF(C166=MIN(B166:D166),"B","C")))</x:f>
      </x:c>
      <x:c r="I166" t="str">
        <x:f>IF(OR(E166="",G166=""),"",IF(E166=G166,"Y","N"))</x:f>
      </x:c>
      <x:c r="J166" t="str">
        <x:f>IF(OR(F166="",H166=""),"",IF(F166=H166,"Y","N"))</x:f>
      </x:c>
      <x:c r="K166" t="str">
        <x:f>IF(OR(I166="",J166=""),"",IF(AND(I166="Y",J166="Y"),"",IF(AND(I166="N",J166="N"),"가까움·멂 모두 점수와 불일치",IF(I166="N","가까움이 최고점과 불일치","멂이 최저점과 불일치"))))</x:f>
      </x:c>
    </x:row>
    <x:row r="167">
      <x:c r="A167"/>
      <x:c r="B167"/>
      <x:c r="C167"/>
      <x:c r="D167"/>
      <x:c r="E167"/>
      <x:c r="F167"/>
      <x:c r="G167" t="str">
        <x:f>IF(COUNT(B167:D167)&lt;3,"",IF(B167=MAX(B167:D167),"A",IF(C167=MAX(B167:D167),"B","C")))</x:f>
      </x:c>
      <x:c r="H167" t="str">
        <x:f>IF(COUNT(B167:D167)&lt;3,"",IF(B167=MIN(B167:D167),"A",IF(C167=MIN(B167:D167),"B","C")))</x:f>
      </x:c>
      <x:c r="I167" t="str">
        <x:f>IF(OR(E167="",G167=""),"",IF(E167=G167,"Y","N"))</x:f>
      </x:c>
      <x:c r="J167" t="str">
        <x:f>IF(OR(F167="",H167=""),"",IF(F167=H167,"Y","N"))</x:f>
      </x:c>
      <x:c r="K167" t="str">
        <x:f>IF(OR(I167="",J167=""),"",IF(AND(I167="Y",J167="Y"),"",IF(AND(I167="N",J167="N"),"가까움·멂 모두 점수와 불일치",IF(I167="N","가까움이 최고점과 불일치","멂이 최저점과 불일치"))))</x:f>
      </x:c>
    </x:row>
    <x:row r="168">
      <x:c r="A168"/>
      <x:c r="B168"/>
      <x:c r="C168"/>
      <x:c r="D168"/>
      <x:c r="E168"/>
      <x:c r="F168"/>
      <x:c r="G168" t="str">
        <x:f>IF(COUNT(B168:D168)&lt;3,"",IF(B168=MAX(B168:D168),"A",IF(C168=MAX(B168:D168),"B","C")))</x:f>
      </x:c>
      <x:c r="H168" t="str">
        <x:f>IF(COUNT(B168:D168)&lt;3,"",IF(B168=MIN(B168:D168),"A",IF(C168=MIN(B168:D168),"B","C")))</x:f>
      </x:c>
      <x:c r="I168" t="str">
        <x:f>IF(OR(E168="",G168=""),"",IF(E168=G168,"Y","N"))</x:f>
      </x:c>
      <x:c r="J168" t="str">
        <x:f>IF(OR(F168="",H168=""),"",IF(F168=H168,"Y","N"))</x:f>
      </x:c>
      <x:c r="K168" t="str">
        <x:f>IF(OR(I168="",J168=""),"",IF(AND(I168="Y",J168="Y"),"",IF(AND(I168="N",J168="N"),"가까움·멂 모두 점수와 불일치",IF(I168="N","가까움이 최고점과 불일치","멂이 최저점과 불일치"))))</x:f>
      </x:c>
    </x:row>
    <x:row r="169">
      <x:c r="A169"/>
      <x:c r="B169"/>
      <x:c r="C169"/>
      <x:c r="D169"/>
      <x:c r="E169"/>
      <x:c r="F169"/>
      <x:c r="G169" t="str">
        <x:f>IF(COUNT(B169:D169)&lt;3,"",IF(B169=MAX(B169:D169),"A",IF(C169=MAX(B169:D169),"B","C")))</x:f>
      </x:c>
      <x:c r="H169" t="str">
        <x:f>IF(COUNT(B169:D169)&lt;3,"",IF(B169=MIN(B169:D169),"A",IF(C169=MIN(B169:D169),"B","C")))</x:f>
      </x:c>
      <x:c r="I169" t="str">
        <x:f>IF(OR(E169="",G169=""),"",IF(E169=G169,"Y","N"))</x:f>
      </x:c>
      <x:c r="J169" t="str">
        <x:f>IF(OR(F169="",H169=""),"",IF(F169=H169,"Y","N"))</x:f>
      </x:c>
      <x:c r="K169" t="str">
        <x:f>IF(OR(I169="",J169=""),"",IF(AND(I169="Y",J169="Y"),"",IF(AND(I169="N",J169="N"),"가까움·멂 모두 점수와 불일치",IF(I169="N","가까움이 최고점과 불일치","멂이 최저점과 불일치"))))</x:f>
      </x:c>
    </x:row>
    <x:row r="170">
      <x:c r="A170"/>
      <x:c r="B170"/>
      <x:c r="C170"/>
      <x:c r="D170"/>
      <x:c r="E170"/>
      <x:c r="F170"/>
      <x:c r="G170" t="str">
        <x:f>IF(COUNT(B170:D170)&lt;3,"",IF(B170=MAX(B170:D170),"A",IF(C170=MAX(B170:D170),"B","C")))</x:f>
      </x:c>
      <x:c r="H170" t="str">
        <x:f>IF(COUNT(B170:D170)&lt;3,"",IF(B170=MIN(B170:D170),"A",IF(C170=MIN(B170:D170),"B","C")))</x:f>
      </x:c>
      <x:c r="I170" t="str">
        <x:f>IF(OR(E170="",G170=""),"",IF(E170=G170,"Y","N"))</x:f>
      </x:c>
      <x:c r="J170" t="str">
        <x:f>IF(OR(F170="",H170=""),"",IF(F170=H170,"Y","N"))</x:f>
      </x:c>
      <x:c r="K170" t="str">
        <x:f>IF(OR(I170="",J170=""),"",IF(AND(I170="Y",J170="Y"),"",IF(AND(I170="N",J170="N"),"가까움·멂 모두 점수와 불일치",IF(I170="N","가까움이 최고점과 불일치","멂이 최저점과 불일치"))))</x:f>
      </x:c>
    </x:row>
    <x:row r="171">
      <x:c r="A171"/>
      <x:c r="B171"/>
      <x:c r="C171"/>
      <x:c r="D171"/>
      <x:c r="E171"/>
      <x:c r="F171"/>
      <x:c r="G171" t="str">
        <x:f>IF(COUNT(B171:D171)&lt;3,"",IF(B171=MAX(B171:D171),"A",IF(C171=MAX(B171:D171),"B","C")))</x:f>
      </x:c>
      <x:c r="H171" t="str">
        <x:f>IF(COUNT(B171:D171)&lt;3,"",IF(B171=MIN(B171:D171),"A",IF(C171=MIN(B171:D171),"B","C")))</x:f>
      </x:c>
      <x:c r="I171" t="str">
        <x:f>IF(OR(E171="",G171=""),"",IF(E171=G171,"Y","N"))</x:f>
      </x:c>
      <x:c r="J171" t="str">
        <x:f>IF(OR(F171="",H171=""),"",IF(F171=H171,"Y","N"))</x:f>
      </x:c>
      <x:c r="K171" t="str">
        <x:f>IF(OR(I171="",J171=""),"",IF(AND(I171="Y",J171="Y"),"",IF(AND(I171="N",J171="N"),"가까움·멂 모두 점수와 불일치",IF(I171="N","가까움이 최고점과 불일치","멂이 최저점과 불일치"))))</x:f>
      </x:c>
    </x:row>
    <x:row r="172">
      <x:c r="A172"/>
      <x:c r="B172"/>
      <x:c r="C172"/>
      <x:c r="D172"/>
      <x:c r="E172"/>
      <x:c r="F172"/>
      <x:c r="G172" t="str">
        <x:f>IF(COUNT(B172:D172)&lt;3,"",IF(B172=MAX(B172:D172),"A",IF(C172=MAX(B172:D172),"B","C")))</x:f>
      </x:c>
      <x:c r="H172" t="str">
        <x:f>IF(COUNT(B172:D172)&lt;3,"",IF(B172=MIN(B172:D172),"A",IF(C172=MIN(B172:D172),"B","C")))</x:f>
      </x:c>
      <x:c r="I172" t="str">
        <x:f>IF(OR(E172="",G172=""),"",IF(E172=G172,"Y","N"))</x:f>
      </x:c>
      <x:c r="J172" t="str">
        <x:f>IF(OR(F172="",H172=""),"",IF(F172=H172,"Y","N"))</x:f>
      </x:c>
      <x:c r="K172" t="str">
        <x:f>IF(OR(I172="",J172=""),"",IF(AND(I172="Y",J172="Y"),"",IF(AND(I172="N",J172="N"),"가까움·멂 모두 점수와 불일치",IF(I172="N","가까움이 최고점과 불일치","멂이 최저점과 불일치"))))</x:f>
      </x:c>
    </x:row>
    <x:row r="173">
      <x:c r="A173"/>
      <x:c r="B173"/>
      <x:c r="C173"/>
      <x:c r="D173"/>
      <x:c r="E173"/>
      <x:c r="F173"/>
      <x:c r="G173" t="str">
        <x:f>IF(COUNT(B173:D173)&lt;3,"",IF(B173=MAX(B173:D173),"A",IF(C173=MAX(B173:D173),"B","C")))</x:f>
      </x:c>
      <x:c r="H173" t="str">
        <x:f>IF(COUNT(B173:D173)&lt;3,"",IF(B173=MIN(B173:D173),"A",IF(C173=MIN(B173:D173),"B","C")))</x:f>
      </x:c>
      <x:c r="I173" t="str">
        <x:f>IF(OR(E173="",G173=""),"",IF(E173=G173,"Y","N"))</x:f>
      </x:c>
      <x:c r="J173" t="str">
        <x:f>IF(OR(F173="",H173=""),"",IF(F173=H173,"Y","N"))</x:f>
      </x:c>
      <x:c r="K173" t="str">
        <x:f>IF(OR(I173="",J173=""),"",IF(AND(I173="Y",J173="Y"),"",IF(AND(I173="N",J173="N"),"가까움·멂 모두 점수와 불일치",IF(I173="N","가까움이 최고점과 불일치","멂이 최저점과 불일치"))))</x:f>
      </x:c>
    </x:row>
    <x:row r="174">
      <x:c r="A174"/>
      <x:c r="B174"/>
      <x:c r="C174"/>
      <x:c r="D174"/>
      <x:c r="E174"/>
      <x:c r="F174"/>
      <x:c r="G174" t="str">
        <x:f>IF(COUNT(B174:D174)&lt;3,"",IF(B174=MAX(B174:D174),"A",IF(C174=MAX(B174:D174),"B","C")))</x:f>
      </x:c>
      <x:c r="H174" t="str">
        <x:f>IF(COUNT(B174:D174)&lt;3,"",IF(B174=MIN(B174:D174),"A",IF(C174=MIN(B174:D174),"B","C")))</x:f>
      </x:c>
      <x:c r="I174" t="str">
        <x:f>IF(OR(E174="",G174=""),"",IF(E174=G174,"Y","N"))</x:f>
      </x:c>
      <x:c r="J174" t="str">
        <x:f>IF(OR(F174="",H174=""),"",IF(F174=H174,"Y","N"))</x:f>
      </x:c>
      <x:c r="K174" t="str">
        <x:f>IF(OR(I174="",J174=""),"",IF(AND(I174="Y",J174="Y"),"",IF(AND(I174="N",J174="N"),"가까움·멂 모두 점수와 불일치",IF(I174="N","가까움이 최고점과 불일치","멂이 최저점과 불일치"))))</x:f>
      </x:c>
    </x:row>
    <x:row r="175">
      <x:c r="A175"/>
      <x:c r="B175"/>
      <x:c r="C175"/>
      <x:c r="D175"/>
      <x:c r="E175"/>
      <x:c r="F175"/>
      <x:c r="G175" t="str">
        <x:f>IF(COUNT(B175:D175)&lt;3,"",IF(B175=MAX(B175:D175),"A",IF(C175=MAX(B175:D175),"B","C")))</x:f>
      </x:c>
      <x:c r="H175" t="str">
        <x:f>IF(COUNT(B175:D175)&lt;3,"",IF(B175=MIN(B175:D175),"A",IF(C175=MIN(B175:D175),"B","C")))</x:f>
      </x:c>
      <x:c r="I175" t="str">
        <x:f>IF(OR(E175="",G175=""),"",IF(E175=G175,"Y","N"))</x:f>
      </x:c>
      <x:c r="J175" t="str">
        <x:f>IF(OR(F175="",H175=""),"",IF(F175=H175,"Y","N"))</x:f>
      </x:c>
      <x:c r="K175" t="str">
        <x:f>IF(OR(I175="",J175=""),"",IF(AND(I175="Y",J175="Y"),"",IF(AND(I175="N",J175="N"),"가까움·멂 모두 점수와 불일치",IF(I175="N","가까움이 최고점과 불일치","멂이 최저점과 불일치"))))</x:f>
      </x:c>
    </x:row>
    <x:row r="176">
      <x:c r="A176"/>
      <x:c r="B176"/>
      <x:c r="C176"/>
      <x:c r="D176"/>
      <x:c r="E176"/>
      <x:c r="F176"/>
      <x:c r="G176" t="str">
        <x:f>IF(COUNT(B176:D176)&lt;3,"",IF(B176=MAX(B176:D176),"A",IF(C176=MAX(B176:D176),"B","C")))</x:f>
      </x:c>
      <x:c r="H176" t="str">
        <x:f>IF(COUNT(B176:D176)&lt;3,"",IF(B176=MIN(B176:D176),"A",IF(C176=MIN(B176:D176),"B","C")))</x:f>
      </x:c>
      <x:c r="I176" t="str">
        <x:f>IF(OR(E176="",G176=""),"",IF(E176=G176,"Y","N"))</x:f>
      </x:c>
      <x:c r="J176" t="str">
        <x:f>IF(OR(F176="",H176=""),"",IF(F176=H176,"Y","N"))</x:f>
      </x:c>
      <x:c r="K176" t="str">
        <x:f>IF(OR(I176="",J176=""),"",IF(AND(I176="Y",J176="Y"),"",IF(AND(I176="N",J176="N"),"가까움·멂 모두 점수와 불일치",IF(I176="N","가까움이 최고점과 불일치","멂이 최저점과 불일치"))))</x:f>
      </x:c>
    </x:row>
    <x:row r="177">
      <x:c r="A177"/>
      <x:c r="B177"/>
      <x:c r="C177"/>
      <x:c r="D177"/>
      <x:c r="E177"/>
      <x:c r="F177"/>
      <x:c r="G177" t="str">
        <x:f>IF(COUNT(B177:D177)&lt;3,"",IF(B177=MAX(B177:D177),"A",IF(C177=MAX(B177:D177),"B","C")))</x:f>
      </x:c>
      <x:c r="H177" t="str">
        <x:f>IF(COUNT(B177:D177)&lt;3,"",IF(B177=MIN(B177:D177),"A",IF(C177=MIN(B177:D177),"B","C")))</x:f>
      </x:c>
      <x:c r="I177" t="str">
        <x:f>IF(OR(E177="",G177=""),"",IF(E177=G177,"Y","N"))</x:f>
      </x:c>
      <x:c r="J177" t="str">
        <x:f>IF(OR(F177="",H177=""),"",IF(F177=H177,"Y","N"))</x:f>
      </x:c>
      <x:c r="K177" t="str">
        <x:f>IF(OR(I177="",J177=""),"",IF(AND(I177="Y",J177="Y"),"",IF(AND(I177="N",J177="N"),"가까움·멂 모두 점수와 불일치",IF(I177="N","가까움이 최고점과 불일치","멂이 최저점과 불일치"))))</x:f>
      </x:c>
    </x:row>
    <x:row r="178">
      <x:c r="A178"/>
      <x:c r="B178"/>
      <x:c r="C178"/>
      <x:c r="D178"/>
      <x:c r="E178"/>
      <x:c r="F178"/>
      <x:c r="G178" t="str">
        <x:f>IF(COUNT(B178:D178)&lt;3,"",IF(B178=MAX(B178:D178),"A",IF(C178=MAX(B178:D178),"B","C")))</x:f>
      </x:c>
      <x:c r="H178" t="str">
        <x:f>IF(COUNT(B178:D178)&lt;3,"",IF(B178=MIN(B178:D178),"A",IF(C178=MIN(B178:D178),"B","C")))</x:f>
      </x:c>
      <x:c r="I178" t="str">
        <x:f>IF(OR(E178="",G178=""),"",IF(E178=G178,"Y","N"))</x:f>
      </x:c>
      <x:c r="J178" t="str">
        <x:f>IF(OR(F178="",H178=""),"",IF(F178=H178,"Y","N"))</x:f>
      </x:c>
      <x:c r="K178" t="str">
        <x:f>IF(OR(I178="",J178=""),"",IF(AND(I178="Y",J178="Y"),"",IF(AND(I178="N",J178="N"),"가까움·멂 모두 점수와 불일치",IF(I178="N","가까움이 최고점과 불일치","멂이 최저점과 불일치"))))</x:f>
      </x:c>
    </x:row>
    <x:row r="179">
      <x:c r="A179"/>
      <x:c r="B179"/>
      <x:c r="C179"/>
      <x:c r="D179"/>
      <x:c r="E179"/>
      <x:c r="F179"/>
      <x:c r="G179" t="str">
        <x:f>IF(COUNT(B179:D179)&lt;3,"",IF(B179=MAX(B179:D179),"A",IF(C179=MAX(B179:D179),"B","C")))</x:f>
      </x:c>
      <x:c r="H179" t="str">
        <x:f>IF(COUNT(B179:D179)&lt;3,"",IF(B179=MIN(B179:D179),"A",IF(C179=MIN(B179:D179),"B","C")))</x:f>
      </x:c>
      <x:c r="I179" t="str">
        <x:f>IF(OR(E179="",G179=""),"",IF(E179=G179,"Y","N"))</x:f>
      </x:c>
      <x:c r="J179" t="str">
        <x:f>IF(OR(F179="",H179=""),"",IF(F179=H179,"Y","N"))</x:f>
      </x:c>
      <x:c r="K179" t="str">
        <x:f>IF(OR(I179="",J179=""),"",IF(AND(I179="Y",J179="Y"),"",IF(AND(I179="N",J179="N"),"가까움·멂 모두 점수와 불일치",IF(I179="N","가까움이 최고점과 불일치","멂이 최저점과 불일치"))))</x:f>
      </x:c>
    </x:row>
    <x:row r="180">
      <x:c r="A180"/>
      <x:c r="B180"/>
      <x:c r="C180"/>
      <x:c r="D180"/>
      <x:c r="E180"/>
      <x:c r="F180"/>
      <x:c r="G180" t="str">
        <x:f>IF(COUNT(B180:D180)&lt;3,"",IF(B180=MAX(B180:D180),"A",IF(C180=MAX(B180:D180),"B","C")))</x:f>
      </x:c>
      <x:c r="H180" t="str">
        <x:f>IF(COUNT(B180:D180)&lt;3,"",IF(B180=MIN(B180:D180),"A",IF(C180=MIN(B180:D180),"B","C")))</x:f>
      </x:c>
      <x:c r="I180" t="str">
        <x:f>IF(OR(E180="",G180=""),"",IF(E180=G180,"Y","N"))</x:f>
      </x:c>
      <x:c r="J180" t="str">
        <x:f>IF(OR(F180="",H180=""),"",IF(F180=H180,"Y","N"))</x:f>
      </x:c>
      <x:c r="K180" t="str">
        <x:f>IF(OR(I180="",J180=""),"",IF(AND(I180="Y",J180="Y"),"",IF(AND(I180="N",J180="N"),"가까움·멂 모두 점수와 불일치",IF(I180="N","가까움이 최고점과 불일치","멂이 최저점과 불일치"))))</x:f>
      </x:c>
    </x:row>
    <x:row r="181">
      <x:c r="A181"/>
      <x:c r="B181"/>
      <x:c r="C181"/>
      <x:c r="D181"/>
      <x:c r="E181"/>
      <x:c r="F181"/>
      <x:c r="G181" t="str">
        <x:f>IF(COUNT(B181:D181)&lt;3,"",IF(B181=MAX(B181:D181),"A",IF(C181=MAX(B181:D181),"B","C")))</x:f>
      </x:c>
      <x:c r="H181" t="str">
        <x:f>IF(COUNT(B181:D181)&lt;3,"",IF(B181=MIN(B181:D181),"A",IF(C181=MIN(B181:D181),"B","C")))</x:f>
      </x:c>
      <x:c r="I181" t="str">
        <x:f>IF(OR(E181="",G181=""),"",IF(E181=G181,"Y","N"))</x:f>
      </x:c>
      <x:c r="J181" t="str">
        <x:f>IF(OR(F181="",H181=""),"",IF(F181=H181,"Y","N"))</x:f>
      </x:c>
      <x:c r="K181" t="str">
        <x:f>IF(OR(I181="",J181=""),"",IF(AND(I181="Y",J181="Y"),"",IF(AND(I181="N",J181="N"),"가까움·멂 모두 점수와 불일치",IF(I181="N","가까움이 최고점과 불일치","멂이 최저점과 불일치"))))</x:f>
      </x:c>
    </x:row>
    <x:row r="182">
      <x:c r="A182"/>
      <x:c r="B182"/>
      <x:c r="C182"/>
      <x:c r="D182"/>
      <x:c r="E182"/>
      <x:c r="F182"/>
      <x:c r="G182" t="str">
        <x:f>IF(COUNT(B182:D182)&lt;3,"",IF(B182=MAX(B182:D182),"A",IF(C182=MAX(B182:D182),"B","C")))</x:f>
      </x:c>
      <x:c r="H182" t="str">
        <x:f>IF(COUNT(B182:D182)&lt;3,"",IF(B182=MIN(B182:D182),"A",IF(C182=MIN(B182:D182),"B","C")))</x:f>
      </x:c>
      <x:c r="I182" t="str">
        <x:f>IF(OR(E182="",G182=""),"",IF(E182=G182,"Y","N"))</x:f>
      </x:c>
      <x:c r="J182" t="str">
        <x:f>IF(OR(F182="",H182=""),"",IF(F182=H182,"Y","N"))</x:f>
      </x:c>
      <x:c r="K182" t="str">
        <x:f>IF(OR(I182="",J182=""),"",IF(AND(I182="Y",J182="Y"),"",IF(AND(I182="N",J182="N"),"가까움·멂 모두 점수와 불일치",IF(I182="N","가까움이 최고점과 불일치","멂이 최저점과 불일치"))))</x:f>
      </x:c>
    </x:row>
    <x:row r="183">
      <x:c r="A183"/>
      <x:c r="B183"/>
      <x:c r="C183"/>
      <x:c r="D183"/>
      <x:c r="E183"/>
      <x:c r="F183"/>
      <x:c r="G183" t="str">
        <x:f>IF(COUNT(B183:D183)&lt;3,"",IF(B183=MAX(B183:D183),"A",IF(C183=MAX(B183:D183),"B","C")))</x:f>
      </x:c>
      <x:c r="H183" t="str">
        <x:f>IF(COUNT(B183:D183)&lt;3,"",IF(B183=MIN(B183:D183),"A",IF(C183=MIN(B183:D183),"B","C")))</x:f>
      </x:c>
      <x:c r="I183" t="str">
        <x:f>IF(OR(E183="",G183=""),"",IF(E183=G183,"Y","N"))</x:f>
      </x:c>
      <x:c r="J183" t="str">
        <x:f>IF(OR(F183="",H183=""),"",IF(F183=H183,"Y","N"))</x:f>
      </x:c>
      <x:c r="K183" t="str">
        <x:f>IF(OR(I183="",J183=""),"",IF(AND(I183="Y",J183="Y"),"",IF(AND(I183="N",J183="N"),"가까움·멂 모두 점수와 불일치",IF(I183="N","가까움이 최고점과 불일치","멂이 최저점과 불일치"))))</x:f>
      </x:c>
    </x:row>
    <x:row r="184">
      <x:c r="A184"/>
      <x:c r="B184"/>
      <x:c r="C184"/>
      <x:c r="D184"/>
      <x:c r="E184"/>
      <x:c r="F184"/>
      <x:c r="G184" t="str">
        <x:f>IF(COUNT(B184:D184)&lt;3,"",IF(B184=MAX(B184:D184),"A",IF(C184=MAX(B184:D184),"B","C")))</x:f>
      </x:c>
      <x:c r="H184" t="str">
        <x:f>IF(COUNT(B184:D184)&lt;3,"",IF(B184=MIN(B184:D184),"A",IF(C184=MIN(B184:D184),"B","C")))</x:f>
      </x:c>
      <x:c r="I184" t="str">
        <x:f>IF(OR(E184="",G184=""),"",IF(E184=G184,"Y","N"))</x:f>
      </x:c>
      <x:c r="J184" t="str">
        <x:f>IF(OR(F184="",H184=""),"",IF(F184=H184,"Y","N"))</x:f>
      </x:c>
      <x:c r="K184" t="str">
        <x:f>IF(OR(I184="",J184=""),"",IF(AND(I184="Y",J184="Y"),"",IF(AND(I184="N",J184="N"),"가까움·멂 모두 점수와 불일치",IF(I184="N","가까움이 최고점과 불일치","멂이 최저점과 불일치"))))</x:f>
      </x:c>
    </x:row>
    <x:row r="185">
      <x:c r="A185"/>
      <x:c r="B185"/>
      <x:c r="C185"/>
      <x:c r="D185"/>
      <x:c r="E185"/>
      <x:c r="F185"/>
      <x:c r="G185" t="str">
        <x:f>IF(COUNT(B185:D185)&lt;3,"",IF(B185=MAX(B185:D185),"A",IF(C185=MAX(B185:D185),"B","C")))</x:f>
      </x:c>
      <x:c r="H185" t="str">
        <x:f>IF(COUNT(B185:D185)&lt;3,"",IF(B185=MIN(B185:D185),"A",IF(C185=MIN(B185:D185),"B","C")))</x:f>
      </x:c>
      <x:c r="I185" t="str">
        <x:f>IF(OR(E185="",G185=""),"",IF(E185=G185,"Y","N"))</x:f>
      </x:c>
      <x:c r="J185" t="str">
        <x:f>IF(OR(F185="",H185=""),"",IF(F185=H185,"Y","N"))</x:f>
      </x:c>
      <x:c r="K185" t="str">
        <x:f>IF(OR(I185="",J185=""),"",IF(AND(I185="Y",J185="Y"),"",IF(AND(I185="N",J185="N"),"가까움·멂 모두 점수와 불일치",IF(I185="N","가까움이 최고점과 불일치","멂이 최저점과 불일치"))))</x:f>
      </x:c>
    </x:row>
    <x:row r="186">
      <x:c r="A186"/>
      <x:c r="B186"/>
      <x:c r="C186"/>
      <x:c r="D186"/>
      <x:c r="E186"/>
      <x:c r="F186"/>
      <x:c r="G186" t="str">
        <x:f>IF(COUNT(B186:D186)&lt;3,"",IF(B186=MAX(B186:D186),"A",IF(C186=MAX(B186:D186),"B","C")))</x:f>
      </x:c>
      <x:c r="H186" t="str">
        <x:f>IF(COUNT(B186:D186)&lt;3,"",IF(B186=MIN(B186:D186),"A",IF(C186=MIN(B186:D186),"B","C")))</x:f>
      </x:c>
      <x:c r="I186" t="str">
        <x:f>IF(OR(E186="",G186=""),"",IF(E186=G186,"Y","N"))</x:f>
      </x:c>
      <x:c r="J186" t="str">
        <x:f>IF(OR(F186="",H186=""),"",IF(F186=H186,"Y","N"))</x:f>
      </x:c>
      <x:c r="K186" t="str">
        <x:f>IF(OR(I186="",J186=""),"",IF(AND(I186="Y",J186="Y"),"",IF(AND(I186="N",J186="N"),"가까움·멂 모두 점수와 불일치",IF(I186="N","가까움이 최고점과 불일치","멂이 최저점과 불일치"))))</x:f>
      </x:c>
    </x:row>
    <x:row r="187">
      <x:c r="A187"/>
      <x:c r="B187"/>
      <x:c r="C187"/>
      <x:c r="D187"/>
      <x:c r="E187"/>
      <x:c r="F187"/>
      <x:c r="G187" t="str">
        <x:f>IF(COUNT(B187:D187)&lt;3,"",IF(B187=MAX(B187:D187),"A",IF(C187=MAX(B187:D187),"B","C")))</x:f>
      </x:c>
      <x:c r="H187" t="str">
        <x:f>IF(COUNT(B187:D187)&lt;3,"",IF(B187=MIN(B187:D187),"A",IF(C187=MIN(B187:D187),"B","C")))</x:f>
      </x:c>
      <x:c r="I187" t="str">
        <x:f>IF(OR(E187="",G187=""),"",IF(E187=G187,"Y","N"))</x:f>
      </x:c>
      <x:c r="J187" t="str">
        <x:f>IF(OR(F187="",H187=""),"",IF(F187=H187,"Y","N"))</x:f>
      </x:c>
      <x:c r="K187" t="str">
        <x:f>IF(OR(I187="",J187=""),"",IF(AND(I187="Y",J187="Y"),"",IF(AND(I187="N",J187="N"),"가까움·멂 모두 점수와 불일치",IF(I187="N","가까움이 최고점과 불일치","멂이 최저점과 불일치"))))</x:f>
      </x:c>
    </x:row>
    <x:row r="188">
      <x:c r="A188"/>
      <x:c r="B188"/>
      <x:c r="C188"/>
      <x:c r="D188"/>
      <x:c r="E188"/>
      <x:c r="F188"/>
      <x:c r="G188" t="str">
        <x:f>IF(COUNT(B188:D188)&lt;3,"",IF(B188=MAX(B188:D188),"A",IF(C188=MAX(B188:D188),"B","C")))</x:f>
      </x:c>
      <x:c r="H188" t="str">
        <x:f>IF(COUNT(B188:D188)&lt;3,"",IF(B188=MIN(B188:D188),"A",IF(C188=MIN(B188:D188),"B","C")))</x:f>
      </x:c>
      <x:c r="I188" t="str">
        <x:f>IF(OR(E188="",G188=""),"",IF(E188=G188,"Y","N"))</x:f>
      </x:c>
      <x:c r="J188" t="str">
        <x:f>IF(OR(F188="",H188=""),"",IF(F188=H188,"Y","N"))</x:f>
      </x:c>
      <x:c r="K188" t="str">
        <x:f>IF(OR(I188="",J188=""),"",IF(AND(I188="Y",J188="Y"),"",IF(AND(I188="N",J188="N"),"가까움·멂 모두 점수와 불일치",IF(I188="N","가까움이 최고점과 불일치","멂이 최저점과 불일치"))))</x:f>
      </x:c>
    </x:row>
    <x:row r="189">
      <x:c r="A189"/>
      <x:c r="B189"/>
      <x:c r="C189"/>
      <x:c r="D189"/>
      <x:c r="E189"/>
      <x:c r="F189"/>
      <x:c r="G189" t="str">
        <x:f>IF(COUNT(B189:D189)&lt;3,"",IF(B189=MAX(B189:D189),"A",IF(C189=MAX(B189:D189),"B","C")))</x:f>
      </x:c>
      <x:c r="H189" t="str">
        <x:f>IF(COUNT(B189:D189)&lt;3,"",IF(B189=MIN(B189:D189),"A",IF(C189=MIN(B189:D189),"B","C")))</x:f>
      </x:c>
      <x:c r="I189" t="str">
        <x:f>IF(OR(E189="",G189=""),"",IF(E189=G189,"Y","N"))</x:f>
      </x:c>
      <x:c r="J189" t="str">
        <x:f>IF(OR(F189="",H189=""),"",IF(F189=H189,"Y","N"))</x:f>
      </x:c>
      <x:c r="K189" t="str">
        <x:f>IF(OR(I189="",J189=""),"",IF(AND(I189="Y",J189="Y"),"",IF(AND(I189="N",J189="N"),"가까움·멂 모두 점수와 불일치",IF(I189="N","가까움이 최고점과 불일치","멂이 최저점과 불일치"))))</x:f>
      </x:c>
    </x:row>
    <x:row r="190">
      <x:c r="A190"/>
      <x:c r="B190"/>
      <x:c r="C190"/>
      <x:c r="D190"/>
      <x:c r="E190"/>
      <x:c r="F190"/>
      <x:c r="G190" t="str">
        <x:f>IF(COUNT(B190:D190)&lt;3,"",IF(B190=MAX(B190:D190),"A",IF(C190=MAX(B190:D190),"B","C")))</x:f>
      </x:c>
      <x:c r="H190" t="str">
        <x:f>IF(COUNT(B190:D190)&lt;3,"",IF(B190=MIN(B190:D190),"A",IF(C190=MIN(B190:D190),"B","C")))</x:f>
      </x:c>
      <x:c r="I190" t="str">
        <x:f>IF(OR(E190="",G190=""),"",IF(E190=G190,"Y","N"))</x:f>
      </x:c>
      <x:c r="J190" t="str">
        <x:f>IF(OR(F190="",H190=""),"",IF(F190=H190,"Y","N"))</x:f>
      </x:c>
      <x:c r="K190" t="str">
        <x:f>IF(OR(I190="",J190=""),"",IF(AND(I190="Y",J190="Y"),"",IF(AND(I190="N",J190="N"),"가까움·멂 모두 점수와 불일치",IF(I190="N","가까움이 최고점과 불일치","멂이 최저점과 불일치"))))</x:f>
      </x:c>
    </x:row>
    <x:row r="191">
      <x:c r="A191"/>
      <x:c r="B191"/>
      <x:c r="C191"/>
      <x:c r="D191"/>
      <x:c r="E191"/>
      <x:c r="F191"/>
      <x:c r="G191" t="str">
        <x:f>IF(COUNT(B191:D191)&lt;3,"",IF(B191=MAX(B191:D191),"A",IF(C191=MAX(B191:D191),"B","C")))</x:f>
      </x:c>
      <x:c r="H191" t="str">
        <x:f>IF(COUNT(B191:D191)&lt;3,"",IF(B191=MIN(B191:D191),"A",IF(C191=MIN(B191:D191),"B","C")))</x:f>
      </x:c>
      <x:c r="I191" t="str">
        <x:f>IF(OR(E191="",G191=""),"",IF(E191=G191,"Y","N"))</x:f>
      </x:c>
      <x:c r="J191" t="str">
        <x:f>IF(OR(F191="",H191=""),"",IF(F191=H191,"Y","N"))</x:f>
      </x:c>
      <x:c r="K191" t="str">
        <x:f>IF(OR(I191="",J191=""),"",IF(AND(I191="Y",J191="Y"),"",IF(AND(I191="N",J191="N"),"가까움·멂 모두 점수와 불일치",IF(I191="N","가까움이 최고점과 불일치","멂이 최저점과 불일치"))))</x:f>
      </x:c>
    </x:row>
    <x:row r="192">
      <x:c r="A192"/>
      <x:c r="B192"/>
      <x:c r="C192"/>
      <x:c r="D192"/>
      <x:c r="E192"/>
      <x:c r="F192"/>
      <x:c r="G192" t="str">
        <x:f>IF(COUNT(B192:D192)&lt;3,"",IF(B192=MAX(B192:D192),"A",IF(C192=MAX(B192:D192),"B","C")))</x:f>
      </x:c>
      <x:c r="H192" t="str">
        <x:f>IF(COUNT(B192:D192)&lt;3,"",IF(B192=MIN(B192:D192),"A",IF(C192=MIN(B192:D192),"B","C")))</x:f>
      </x:c>
      <x:c r="I192" t="str">
        <x:f>IF(OR(E192="",G192=""),"",IF(E192=G192,"Y","N"))</x:f>
      </x:c>
      <x:c r="J192" t="str">
        <x:f>IF(OR(F192="",H192=""),"",IF(F192=H192,"Y","N"))</x:f>
      </x:c>
      <x:c r="K192" t="str">
        <x:f>IF(OR(I192="",J192=""),"",IF(AND(I192="Y",J192="Y"),"",IF(AND(I192="N",J192="N"),"가까움·멂 모두 점수와 불일치",IF(I192="N","가까움이 최고점과 불일치","멂이 최저점과 불일치"))))</x:f>
      </x:c>
    </x:row>
    <x:row r="193">
      <x:c r="A193"/>
      <x:c r="B193"/>
      <x:c r="C193"/>
      <x:c r="D193"/>
      <x:c r="E193"/>
      <x:c r="F193"/>
      <x:c r="G193" t="str">
        <x:f>IF(COUNT(B193:D193)&lt;3,"",IF(B193=MAX(B193:D193),"A",IF(C193=MAX(B193:D193),"B","C")))</x:f>
      </x:c>
      <x:c r="H193" t="str">
        <x:f>IF(COUNT(B193:D193)&lt;3,"",IF(B193=MIN(B193:D193),"A",IF(C193=MIN(B193:D193),"B","C")))</x:f>
      </x:c>
      <x:c r="I193" t="str">
        <x:f>IF(OR(E193="",G193=""),"",IF(E193=G193,"Y","N"))</x:f>
      </x:c>
      <x:c r="J193" t="str">
        <x:f>IF(OR(F193="",H193=""),"",IF(F193=H193,"Y","N"))</x:f>
      </x:c>
      <x:c r="K193" t="str">
        <x:f>IF(OR(I193="",J193=""),"",IF(AND(I193="Y",J193="Y"),"",IF(AND(I193="N",J193="N"),"가까움·멂 모두 점수와 불일치",IF(I193="N","가까움이 최고점과 불일치","멂이 최저점과 불일치"))))</x:f>
      </x:c>
    </x:row>
    <x:row r="194">
      <x:c r="A194"/>
      <x:c r="B194"/>
      <x:c r="C194"/>
      <x:c r="D194"/>
      <x:c r="E194"/>
      <x:c r="F194"/>
      <x:c r="G194" t="str">
        <x:f>IF(COUNT(B194:D194)&lt;3,"",IF(B194=MAX(B194:D194),"A",IF(C194=MAX(B194:D194),"B","C")))</x:f>
      </x:c>
      <x:c r="H194" t="str">
        <x:f>IF(COUNT(B194:D194)&lt;3,"",IF(B194=MIN(B194:D194),"A",IF(C194=MIN(B194:D194),"B","C")))</x:f>
      </x:c>
      <x:c r="I194" t="str">
        <x:f>IF(OR(E194="",G194=""),"",IF(E194=G194,"Y","N"))</x:f>
      </x:c>
      <x:c r="J194" t="str">
        <x:f>IF(OR(F194="",H194=""),"",IF(F194=H194,"Y","N"))</x:f>
      </x:c>
      <x:c r="K194" t="str">
        <x:f>IF(OR(I194="",J194=""),"",IF(AND(I194="Y",J194="Y"),"",IF(AND(I194="N",J194="N"),"가까움·멂 모두 점수와 불일치",IF(I194="N","가까움이 최고점과 불일치","멂이 최저점과 불일치"))))</x:f>
      </x:c>
    </x:row>
    <x:row r="195">
      <x:c r="A195"/>
      <x:c r="B195"/>
      <x:c r="C195"/>
      <x:c r="D195"/>
      <x:c r="E195"/>
      <x:c r="F195"/>
      <x:c r="G195" t="str">
        <x:f>IF(COUNT(B195:D195)&lt;3,"",IF(B195=MAX(B195:D195),"A",IF(C195=MAX(B195:D195),"B","C")))</x:f>
      </x:c>
      <x:c r="H195" t="str">
        <x:f>IF(COUNT(B195:D195)&lt;3,"",IF(B195=MIN(B195:D195),"A",IF(C195=MIN(B195:D195),"B","C")))</x:f>
      </x:c>
      <x:c r="I195" t="str">
        <x:f>IF(OR(E195="",G195=""),"",IF(E195=G195,"Y","N"))</x:f>
      </x:c>
      <x:c r="J195" t="str">
        <x:f>IF(OR(F195="",H195=""),"",IF(F195=H195,"Y","N"))</x:f>
      </x:c>
      <x:c r="K195" t="str">
        <x:f>IF(OR(I195="",J195=""),"",IF(AND(I195="Y",J195="Y"),"",IF(AND(I195="N",J195="N"),"가까움·멂 모두 점수와 불일치",IF(I195="N","가까움이 최고점과 불일치","멂이 최저점과 불일치"))))</x:f>
      </x:c>
    </x:row>
    <x:row r="196">
      <x:c r="A196"/>
      <x:c r="B196"/>
      <x:c r="C196"/>
      <x:c r="D196"/>
      <x:c r="E196"/>
      <x:c r="F196"/>
      <x:c r="G196" t="str">
        <x:f>IF(COUNT(B196:D196)&lt;3,"",IF(B196=MAX(B196:D196),"A",IF(C196=MAX(B196:D196),"B","C")))</x:f>
      </x:c>
      <x:c r="H196" t="str">
        <x:f>IF(COUNT(B196:D196)&lt;3,"",IF(B196=MIN(B196:D196),"A",IF(C196=MIN(B196:D196),"B","C")))</x:f>
      </x:c>
      <x:c r="I196" t="str">
        <x:f>IF(OR(E196="",G196=""),"",IF(E196=G196,"Y","N"))</x:f>
      </x:c>
      <x:c r="J196" t="str">
        <x:f>IF(OR(F196="",H196=""),"",IF(F196=H196,"Y","N"))</x:f>
      </x:c>
      <x:c r="K196" t="str">
        <x:f>IF(OR(I196="",J196=""),"",IF(AND(I196="Y",J196="Y"),"",IF(AND(I196="N",J196="N"),"가까움·멂 모두 점수와 불일치",IF(I196="N","가까움이 최고점과 불일치","멂이 최저점과 불일치"))))</x:f>
      </x:c>
    </x:row>
    <x:row r="197">
      <x:c r="A197"/>
      <x:c r="B197"/>
      <x:c r="C197"/>
      <x:c r="D197"/>
      <x:c r="E197"/>
      <x:c r="F197"/>
      <x:c r="G197" t="str">
        <x:f>IF(COUNT(B197:D197)&lt;3,"",IF(B197=MAX(B197:D197),"A",IF(C197=MAX(B197:D197),"B","C")))</x:f>
      </x:c>
      <x:c r="H197" t="str">
        <x:f>IF(COUNT(B197:D197)&lt;3,"",IF(B197=MIN(B197:D197),"A",IF(C197=MIN(B197:D197),"B","C")))</x:f>
      </x:c>
      <x:c r="I197" t="str">
        <x:f>IF(OR(E197="",G197=""),"",IF(E197=G197,"Y","N"))</x:f>
      </x:c>
      <x:c r="J197" t="str">
        <x:f>IF(OR(F197="",H197=""),"",IF(F197=H197,"Y","N"))</x:f>
      </x:c>
      <x:c r="K197" t="str">
        <x:f>IF(OR(I197="",J197=""),"",IF(AND(I197="Y",J197="Y"),"",IF(AND(I197="N",J197="N"),"가까움·멂 모두 점수와 불일치",IF(I197="N","가까움이 최고점과 불일치","멂이 최저점과 불일치"))))</x:f>
      </x:c>
    </x:row>
    <x:row r="198">
      <x:c r="A198"/>
      <x:c r="B198"/>
      <x:c r="C198"/>
      <x:c r="D198"/>
      <x:c r="E198"/>
      <x:c r="F198"/>
      <x:c r="G198" t="str">
        <x:f>IF(COUNT(B198:D198)&lt;3,"",IF(B198=MAX(B198:D198),"A",IF(C198=MAX(B198:D198),"B","C")))</x:f>
      </x:c>
      <x:c r="H198" t="str">
        <x:f>IF(COUNT(B198:D198)&lt;3,"",IF(B198=MIN(B198:D198),"A",IF(C198=MIN(B198:D198),"B","C")))</x:f>
      </x:c>
      <x:c r="I198" t="str">
        <x:f>IF(OR(E198="",G198=""),"",IF(E198=G198,"Y","N"))</x:f>
      </x:c>
      <x:c r="J198" t="str">
        <x:f>IF(OR(F198="",H198=""),"",IF(F198=H198,"Y","N"))</x:f>
      </x:c>
      <x:c r="K198" t="str">
        <x:f>IF(OR(I198="",J198=""),"",IF(AND(I198="Y",J198="Y"),"",IF(AND(I198="N",J198="N"),"가까움·멂 모두 점수와 불일치",IF(I198="N","가까움이 최고점과 불일치","멂이 최저점과 불일치"))))</x:f>
      </x:c>
    </x:row>
    <x:row r="199">
      <x:c r="A199"/>
      <x:c r="B199"/>
      <x:c r="C199"/>
      <x:c r="D199"/>
      <x:c r="E199"/>
      <x:c r="F199"/>
      <x:c r="G199" t="str">
        <x:f>IF(COUNT(B199:D199)&lt;3,"",IF(B199=MAX(B199:D199),"A",IF(C199=MAX(B199:D199),"B","C")))</x:f>
      </x:c>
      <x:c r="H199" t="str">
        <x:f>IF(COUNT(B199:D199)&lt;3,"",IF(B199=MIN(B199:D199),"A",IF(C199=MIN(B199:D199),"B","C")))</x:f>
      </x:c>
      <x:c r="I199" t="str">
        <x:f>IF(OR(E199="",G199=""),"",IF(E199=G199,"Y","N"))</x:f>
      </x:c>
      <x:c r="J199" t="str">
        <x:f>IF(OR(F199="",H199=""),"",IF(F199=H199,"Y","N"))</x:f>
      </x:c>
      <x:c r="K199" t="str">
        <x:f>IF(OR(I199="",J199=""),"",IF(AND(I199="Y",J199="Y"),"",IF(AND(I199="N",J199="N"),"가까움·멂 모두 점수와 불일치",IF(I199="N","가까움이 최고점과 불일치","멂이 최저점과 불일치"))))</x:f>
      </x:c>
    </x:row>
    <x:row r="200">
      <x:c r="A200"/>
      <x:c r="B200"/>
      <x:c r="C200"/>
      <x:c r="D200"/>
      <x:c r="E200"/>
      <x:c r="F200"/>
      <x:c r="G200" t="str">
        <x:f>IF(COUNT(B200:D200)&lt;3,"",IF(B200=MAX(B200:D200),"A",IF(C200=MAX(B200:D200),"B","C")))</x:f>
      </x:c>
      <x:c r="H200" t="str">
        <x:f>IF(COUNT(B200:D200)&lt;3,"",IF(B200=MIN(B200:D200),"A",IF(C200=MIN(B200:D200),"B","C")))</x:f>
      </x:c>
      <x:c r="I200" t="str">
        <x:f>IF(OR(E200="",G200=""),"",IF(E200=G200,"Y","N"))</x:f>
      </x:c>
      <x:c r="J200" t="str">
        <x:f>IF(OR(F200="",H200=""),"",IF(F200=H200,"Y","N"))</x:f>
      </x:c>
      <x:c r="K200" t="str">
        <x:f>IF(OR(I200="",J200=""),"",IF(AND(I200="Y",J200="Y"),"",IF(AND(I200="N",J200="N"),"가까움·멂 모두 점수와 불일치",IF(I200="N","가까움이 최고점과 불일치","멂이 최저점과 불일치"))))</x:f>
      </x:c>
    </x:row>
    <x:row r="201">
      <x:c r="A201"/>
      <x:c r="B201"/>
      <x:c r="C201"/>
      <x:c r="D201"/>
      <x:c r="E201"/>
      <x:c r="F201"/>
      <x:c r="G201" t="str">
        <x:f>IF(COUNT(B201:D201)&lt;3,"",IF(B201=MAX(B201:D201),"A",IF(C201=MAX(B201:D201),"B","C")))</x:f>
      </x:c>
      <x:c r="H201" t="str">
        <x:f>IF(COUNT(B201:D201)&lt;3,"",IF(B201=MIN(B201:D201),"A",IF(C201=MIN(B201:D201),"B","C")))</x:f>
      </x:c>
      <x:c r="I201" t="str">
        <x:f>IF(OR(E201="",G201=""),"",IF(E201=G201,"Y","N"))</x:f>
      </x:c>
      <x:c r="J201" t="str">
        <x:f>IF(OR(F201="",H201=""),"",IF(F201=H201,"Y","N"))</x:f>
      </x:c>
      <x:c r="K201" t="str">
        <x:f>IF(OR(I201="",J201=""),"",IF(AND(I201="Y",J201="Y"),"",IF(AND(I201="N",J201="N"),"가까움·멂 모두 점수와 불일치",IF(I201="N","가까움이 최고점과 불일치","멂이 최저점과 불일치"))))</x:f>
      </x:c>
    </x:row>
  </x:sheetData>
  <x:conditionalFormatting sqref="I2:J201">
    <x:cfRule type="expression" dxfId="3" priority="1">
      <x:formula>I2="N"</x:formula>
    </x:cfRule>
  </x:conditionalFormatting>
  <x:conditionalFormatting sqref="K2:K201">
    <x:cfRule type="expression" dxfId="4" priority="2">
      <x:formula>K2&lt;&gt;""</x:formula>
    </x:cfRule>
  </x:conditionalFormatting>
  <x:dataValidations count="1">
    <x:dataValidation type="list" sqref="E2:F201">
      <x:formula1>"A,B,C"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34" hidden="0" customWidth="1"/>
    <x:col min="4" max="4" width="5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49" t="str">
        <x:v>최종 분석 요약</x:v>
      </x:c>
      <x:c r="B1" s="49"/>
      <x:c r="C1" s="49"/>
      <x:c r="D1" s="49"/>
      <x:c r="E1" s="49"/>
      <x:c r="F1" s="49"/>
      <x:c r="G1" s="49"/>
      <x:c r="H1" s="49"/>
    </x:row>
    <x:row r="3">
      <x:c r="A3" s="11" t="str">
        <x:v>구분</x:v>
      </x:c>
      <x:c r="B3" s="11" t="str">
        <x:v>순위</x:v>
      </x:c>
      <x:c r="C3" s="11" t="str">
        <x:v>항목</x:v>
      </x:c>
      <x:c r="D3" s="11" t="str">
        <x:v>근거/설명</x:v>
      </x:c>
    </x:row>
    <x:row r="4">
      <x:c r="A4" s="20" t="str">
        <x:v>일관된 가치 TOP5</x:v>
      </x:c>
      <x:c r="B4" s="20" t="n">
        <x:v>1</x:v>
      </x:c>
      <x:c r="C4" s="20" t="str"/>
      <x:c r="D4" s="20" t="str"/>
    </x:row>
    <x:row r="5">
      <x:c r="A5" s="20" t="str">
        <x:v>일관된 가치 TOP5</x:v>
      </x:c>
      <x:c r="B5" s="20" t="n">
        <x:v>2</x:v>
      </x:c>
      <x:c r="C5" s="20" t="str"/>
      <x:c r="D5" s="20" t="str"/>
    </x:row>
    <x:row r="6">
      <x:c r="A6" s="20" t="str">
        <x:v>일관된 가치 TOP5</x:v>
      </x:c>
      <x:c r="B6" s="20" t="n">
        <x:v>3</x:v>
      </x:c>
      <x:c r="C6" s="20" t="str"/>
      <x:c r="D6" s="20" t="str"/>
    </x:row>
    <x:row r="7">
      <x:c r="A7" s="20" t="str">
        <x:v>일관된 가치 TOP5</x:v>
      </x:c>
      <x:c r="B7" s="20" t="n">
        <x:v>4</x:v>
      </x:c>
      <x:c r="C7" s="20" t="str"/>
      <x:c r="D7" s="20" t="str"/>
    </x:row>
    <x:row r="8">
      <x:c r="A8" s="20" t="str">
        <x:v>일관된 가치 TOP5</x:v>
      </x:c>
      <x:c r="B8" s="20" t="n">
        <x:v>5</x:v>
      </x:c>
      <x:c r="C8" s="20" t="str"/>
      <x:c r="D8" s="20" t="str"/>
    </x:row>
    <x:row r="9">
      <x:c r="A9" s="20" t="str">
        <x:v>흔들린 가치/충돌축 TOP5</x:v>
      </x:c>
      <x:c r="B9" s="20" t="n">
        <x:v>1</x:v>
      </x:c>
      <x:c r="C9" s="20" t="str"/>
      <x:c r="D9" s="20" t="str"/>
    </x:row>
    <x:row r="10">
      <x:c r="A10" s="20" t="str">
        <x:v>흔들린 가치/충돌축 TOP5</x:v>
      </x:c>
      <x:c r="B10" s="20" t="n">
        <x:v>2</x:v>
      </x:c>
      <x:c r="C10" s="20" t="str"/>
      <x:c r="D10" s="20" t="str"/>
    </x:row>
    <x:row r="11">
      <x:c r="A11" s="20" t="str">
        <x:v>흔들린 가치/충돌축 TOP5</x:v>
      </x:c>
      <x:c r="B11" s="20" t="n">
        <x:v>3</x:v>
      </x:c>
      <x:c r="C11" s="20" t="str"/>
      <x:c r="D11" s="20" t="str"/>
    </x:row>
    <x:row r="12">
      <x:c r="A12" s="20" t="str">
        <x:v>흔들린 가치/충돌축 TOP5</x:v>
      </x:c>
      <x:c r="B12" s="20" t="n">
        <x:v>4</x:v>
      </x:c>
      <x:c r="C12" s="20" t="str"/>
      <x:c r="D12" s="20" t="str"/>
    </x:row>
    <x:row r="13">
      <x:c r="A13" s="20" t="str">
        <x:v>흔들린 가치/충돌축 TOP5</x:v>
      </x:c>
      <x:c r="B13" s="20" t="n">
        <x:v>5</x:v>
      </x:c>
      <x:c r="C13" s="20" t="str"/>
      <x:c r="D13" s="20" t="str"/>
    </x:row>
    <x:row r="15">
      <x:c r="A15" s="11" t="str">
        <x:v>최종 코칭 문장</x:v>
      </x:c>
      <x:c r="B15" s="11"/>
      <x:c r="C15" s="11"/>
      <x:c r="D15" s="11"/>
      <x:c r="E15" s="11"/>
      <x:c r="F15" s="11"/>
      <x:c r="G15" s="11"/>
      <x:c r="H15" s="11"/>
    </x:row>
    <x:row r="16" ht="38" customHeight="1">
      <x:c r="A16" s="52" t="str">
        <x:v>① 현재 응답 캐릭터</x:v>
      </x:c>
      <x:c r="B16" s="20" t="str"/>
      <x:c r="C16" s="20"/>
      <x:c r="D16" s="20"/>
      <x:c r="E16" s="20"/>
      <x:c r="F16" s="20"/>
      <x:c r="G16" s="20"/>
      <x:c r="H16" s="20"/>
    </x:row>
    <x:row r="17" ht="38" customHeight="1">
      <x:c r="A17" s="52" t="str">
        <x:v>② 유지하면 좋은 기준 5개</x:v>
      </x:c>
      <x:c r="B17" s="20" t="str"/>
      <x:c r="C17" s="20"/>
      <x:c r="D17" s="20"/>
      <x:c r="E17" s="20"/>
      <x:c r="F17" s="20"/>
      <x:c r="G17" s="20"/>
      <x:c r="H17" s="20"/>
    </x:row>
    <x:row r="18" ht="38" customHeight="1">
      <x:c r="A18" s="52" t="str">
        <x:v>③ 다음 연습에서 먼저 고칠 기준 3개</x:v>
      </x:c>
      <x:c r="B18" s="20" t="str"/>
      <x:c r="C18" s="20"/>
      <x:c r="D18" s="20"/>
      <x:c r="E18" s="20"/>
      <x:c r="F18" s="20"/>
      <x:c r="G18" s="20"/>
      <x:c r="H18" s="20"/>
    </x:row>
    <x:row r="19" ht="38" customHeight="1">
      <x:c r="A19" s="52" t="str">
        <x:v>④ 다음에 풀 때 기억할 판단 기준 5~7문장</x:v>
      </x:c>
      <x:c r="B19" s="20" t="str"/>
      <x:c r="C19" s="20"/>
      <x:c r="D19" s="20"/>
      <x:c r="E19" s="20"/>
      <x:c r="F19" s="20"/>
      <x:c r="G19" s="20"/>
      <x:c r="H19" s="20"/>
    </x:row>
    <x:row r="20" ht="38" customHeight="1">
      <x:c r="A20" s="52" t="str">
        <x:v>⑤ 다시 확인할 문항 번호</x:v>
      </x:c>
      <x:c r="B20" s="20" t="str"/>
      <x:c r="C20" s="20"/>
      <x:c r="D20" s="20"/>
      <x:c r="E20" s="20"/>
      <x:c r="F20" s="20"/>
      <x:c r="G20" s="20"/>
      <x:c r="H20" s="20"/>
    </x:row>
    <x:row r="21" ht="38" customHeight="1">
      <x:c r="A21" s="52" t="str">
        <x:v>사이트용 최종 한줄 상태</x:v>
      </x:c>
      <x:c r="B21" s="20" t="str"/>
      <x:c r="C21" s="20"/>
      <x:c r="D21" s="20"/>
      <x:c r="E21" s="20"/>
      <x:c r="F21" s="20"/>
      <x:c r="G21" s="20"/>
      <x:c r="H21" s="20"/>
    </x:row>
  </x:sheetData>
  <x:mergeCells>
    <x:mergeCell ref="A1:H1"/>
    <x:mergeCell ref="A15:H15"/>
    <x:mergeCell ref="B16:H16"/>
    <x:mergeCell ref="B17:H17"/>
    <x:mergeCell ref="B18:H18"/>
    <x:mergeCell ref="B19:H19"/>
    <x:mergeCell ref="B20:H20"/>
    <x:mergeCell ref="B21:H2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8" hidden="0" customWidth="1"/>
    <x:col min="4" max="4" width="30" hidden="0" customWidth="1"/>
    <x:col min="5" max="5" width="18" hidden="0" customWidth="1"/>
    <x:col min="6" max="6" width="18" hidden="0" customWidth="1"/>
    <x:col min="7" max="7" width="16" hidden="0" customWidth="1"/>
  </x:cols>
  <x:sheetData>
    <x:row r="1">
      <x:c r="A1" s="55" t="str">
        <x:v>현재 연습사이트 결과 Excel — 예상 입력 구조</x:v>
      </x:c>
      <x:c r="B1" s="55"/>
      <x:c r="C1" s="55"/>
      <x:c r="D1" s="55"/>
      <x:c r="E1" s="55"/>
      <x:c r="F1" s="55"/>
      <x:c r="G1" s="55"/>
    </x:row>
    <x:row r="3">
      <x:c r="A3" s="58" t="str">
        <x:v>시트</x:v>
      </x:c>
      <x:c r="B3" s="58" t="str">
        <x:v>필수 열</x:v>
      </x:c>
      <x:c r="C3" s="58" t="str">
        <x:v>설명</x:v>
      </x:c>
      <x:c r="D3" s="58" t="str">
        <x:v>정규화 처리</x:v>
      </x:c>
      <x:c r="E3" s="58" t="str">
        <x:v>분석 사용</x:v>
      </x:c>
      <x:c r="F3" s="58" t="str">
        <x:v>비고</x:v>
      </x:c>
      <x:c r="G3" s="58" t="str">
        <x:v>사이트 구현</x:v>
      </x:c>
    </x:row>
    <x:row r="4">
      <x:c r="A4" s="20" t="str">
        <x:v>응답요약</x:v>
      </x:c>
      <x:c r="B4" s="20" t="str">
        <x:v>항목, 값</x:v>
      </x:c>
      <x:c r="C4" s="20" t="str">
        <x:v>시험 시작/제출/완료 수/시간</x:v>
      </x:c>
      <x:c r="D4" s="20" t="str">
        <x:v>KPI로 읽기</x:v>
      </x:c>
      <x:c r="E4" s="20" t="str">
        <x:v>대시보드</x:v>
      </x:c>
      <x:c r="F4" s="20" t="str">
        <x:v>없어도 분석 가능</x:v>
      </x:c>
      <x:c r="G4" s="20" t="str">
        <x:v>옵션</x:v>
      </x:c>
    </x:row>
    <x:row r="5">
      <x:c r="A5" s="20" t="str">
        <x:v>PART1_응답</x:v>
      </x:c>
      <x:c r="B5" s="20" t="str">
        <x:v>set_id, A_문항, A_점수, A_dimension, A_polarity, B_..., C_..., 가장_가까움, 가장_멂</x:v>
      </x:c>
      <x:c r="C5" s="20" t="str">
        <x:v>세트형 응답</x:v>
      </x:c>
      <x:c r="D5" s="20" t="str">
        <x:v>A/B/C를 3개 행으로 분해</x:v>
      </x:c>
      <x:c r="E5" s="20" t="str">
        <x:v>핵심</x:v>
      </x:c>
      <x:c r="F5" s="20" t="str">
        <x:v>필수</x:v>
      </x:c>
      <x:c r="G5" s="20" t="str">
        <x:v>필수</x:v>
      </x:c>
    </x:row>
    <x:row r="6">
      <x:c r="A6" s="20" t="str">
        <x:v>PART2_응답</x:v>
      </x:c>
      <x:c r="B6" s="20" t="str">
        <x:v>item_id, 문항, 점수, dimension, polarity</x:v>
      </x:c>
      <x:c r="C6" s="20" t="str">
        <x:v>단문형 응답</x:v>
      </x:c>
      <x:c r="D6" s="20" t="str">
        <x:v>1문항=1행</x:v>
      </x:c>
      <x:c r="E6" s="20" t="str">
        <x:v>핵심</x:v>
      </x:c>
      <x:c r="F6" s="20" t="str">
        <x:v>필수</x:v>
      </x:c>
      <x:c r="G6" s="20" t="str">
        <x:v>필수</x:v>
      </x:c>
    </x:row>
    <x:row r="7">
      <x:c r="A7" s="20" t="str">
        <x:v>원본_시험설정</x:v>
      </x:c>
      <x:c r="B7" s="20" t="str">
        <x:v>setting_key, value</x:v>
      </x:c>
      <x:c r="C7" s="20" t="str">
        <x:v>문항수/시간/점수범위</x:v>
      </x:c>
      <x:c r="D7" s="20" t="str">
        <x:v>메타데이터</x:v>
      </x:c>
      <x:c r="E7" s="20" t="str">
        <x:v>참고</x:v>
      </x:c>
      <x:c r="F7" s="20" t="str">
        <x:v>없어도 분석 가능</x:v>
      </x:c>
      <x:c r="G7" s="20" t="str">
        <x:v>옵션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48" hidden="0" customWidth="1"/>
    <x:col min="4" max="4" width="22" hidden="0" customWidth="1"/>
    <x:col min="5" max="5" width="48" hidden="0" customWidth="1"/>
    <x:col min="6" max="6" width="14" hidden="0" customWidth="1"/>
  </x:cols>
  <x:sheetData>
    <x:row r="1">
      <x:c r="A1" s="55" t="str">
        <x:v>연습용 분석 규칙 — 실제 SKCT 공식 채점식이 아님</x:v>
      </x:c>
      <x:c r="B1" s="55"/>
      <x:c r="C1" s="55"/>
      <x:c r="D1" s="55"/>
      <x:c r="E1" s="55"/>
      <x:c r="F1" s="55"/>
    </x:row>
    <x:row r="3">
      <x:c r="A3" s="58" t="str">
        <x:v>규칙</x:v>
      </x:c>
      <x:c r="B3" s="58" t="str">
        <x:v>계산</x:v>
      </x:c>
      <x:c r="C3" s="58" t="str">
        <x:v>기본값</x:v>
      </x:c>
      <x:c r="D3" s="58" t="str">
        <x:v>사이트 표시</x:v>
      </x:c>
      <x:c r="E3" s="58" t="str">
        <x:v>주의</x:v>
      </x:c>
      <x:c r="F3" s="58" t="str">
        <x:v>사용자 수정</x:v>
      </x:c>
    </x:row>
    <x:row r="4">
      <x:c r="A4" s="20" t="str">
        <x:v>역방향 보정</x:v>
      </x:c>
      <x:c r="B4" s="20" t="str">
        <x:v>8 - 원점수</x:v>
      </x:c>
      <x:c r="C4" s="20" t="str">
        <x:v>1~7 척도</x:v>
      </x:c>
      <x:c r="D4" s="20" t="str">
        <x:v>내부 계산</x:v>
      </x:c>
      <x:c r="E4" s="20" t="str">
        <x:v>원점수 자체를 좋고 나쁨으로 판단하지 않음</x:v>
      </x:c>
      <x:c r="F4" s="20" t="str">
        <x:v>고정</x:v>
      </x:c>
    </x:row>
    <x:row r="5">
      <x:c r="A5" s="20" t="str">
        <x:v>강도 구간</x:v>
      </x:c>
      <x:c r="B5" s="20" t="str">
        <x:v>보정평균</x:v>
      </x:c>
      <x:c r="C5" s="20" t="str">
        <x:v>≥5.5 매우 강함 / ≥4.5 강함 / ≥3.5 중간 / ≥2.5 약함 / 그 외 매우 약함</x:v>
      </x:c>
      <x:c r="D5" s="20" t="str">
        <x:v>가치 프로필</x:v>
      </x:c>
      <x:c r="E5" s="20" t="str">
        <x:v>합격 의미 아님</x:v>
      </x:c>
      <x:c r="F5" s="20" t="str">
        <x:v>수정 가능</x:v>
      </x:c>
    </x:row>
    <x:row r="6">
      <x:c r="A6" s="20" t="str">
        <x:v>흔들림</x:v>
      </x:c>
      <x:c r="B6" s="20" t="str">
        <x:v>평균절대편차(MAD)</x:v>
      </x:c>
      <x:c r="C6" s="20" t="str">
        <x:v>≤0.6 안정 / ≤1.1 보통 / &gt;1.1 재확인</x:v>
      </x:c>
      <x:c r="D6" s="20" t="str">
        <x:v>일관성</x:v>
      </x:c>
      <x:c r="E6" s="20" t="str">
        <x:v>문항 수가 적으면 참고만</x:v>
      </x:c>
      <x:c r="F6" s="20" t="str">
        <x:v>수정 가능</x:v>
      </x:c>
    </x:row>
    <x:row r="7">
      <x:c r="A7" s="20" t="str">
        <x:v>일관성 점수</x:v>
      </x:c>
      <x:c r="B7" s="20" t="str">
        <x:v>MAX(0, 100 - MAD×25)</x:v>
      </x:c>
      <x:c r="C7" s="20" t="str">
        <x:v>0~100</x:v>
      </x:c>
      <x:c r="D7" s="20" t="str">
        <x:v>대시보드</x:v>
      </x:c>
      <x:c r="E7" s="20" t="str">
        <x:v>공식 점수 아님</x:v>
      </x:c>
      <x:c r="F7" s="20" t="str">
        <x:v>수정 가능</x:v>
      </x:c>
    </x:row>
    <x:row r="8">
      <x:c r="A8" s="20" t="str">
        <x:v>가까움/멂</x:v>
      </x:c>
      <x:c r="B8" s="20" t="str">
        <x:v>점수 최고/최저 옵션과 비교</x:v>
      </x:c>
      <x:c r="C8" s="20" t="str">
        <x:v>일치 여부만 확인</x:v>
      </x:c>
      <x:c r="D8" s="20" t="str">
        <x:v>PART1 검증</x:v>
      </x:c>
      <x:c r="E8" s="20" t="str">
        <x:v>강제선택은 보조지표</x:v>
      </x:c>
      <x:c r="F8" s="20" t="str">
        <x:v>고정</x:v>
      </x:c>
    </x:row>
    <x:row r="9">
      <x:c r="A9" s="20" t="str">
        <x:v>문항쌍 차이</x:v>
      </x:c>
      <x:c r="B9" s="20" t="str">
        <x:v>보정점수 절대차</x:v>
      </x:c>
      <x:c r="C9" s="20" t="str">
        <x:v>≤1 정상 / ≤2 재확인 / &gt;2 우선검토</x:v>
      </x:c>
      <x:c r="D9" s="20" t="str">
        <x:v>문항 감사</x:v>
      </x:c>
      <x:c r="E9" s="20" t="str">
        <x:v>유사·반대 관계를 먼저 정확히 정의</x:v>
      </x:c>
      <x:c r="F9" s="20" t="str">
        <x:v>수정 가능</x:v>
      </x:c>
    </x:row>
  </x:sheetData>
  <x:mergeCells>
    <x:mergeCell ref="A1:F1"/>
  </x:mergeCells>
  <x:pageMargins left="0.7" right="0.7" top="0.75" bottom="0.75" header="0.3" footer="0.3"/>
</x:worksheet>
</file>